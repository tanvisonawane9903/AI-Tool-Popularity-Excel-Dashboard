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https://d.docs.live.net/fd51f7a64280f937/Desktop/Class Session Assg/Excel/Dashboard/"/>
    </mc:Choice>
  </mc:AlternateContent>
  <xr:revisionPtr revIDLastSave="122" documentId="8_{13BF41FB-53D4-48F1-9E10-A62FE06F8000}" xr6:coauthVersionLast="47" xr6:coauthVersionMax="47" xr10:uidLastSave="{EA5BCDE8-8161-4079-AFA9-BF52065A6438}"/>
  <bookViews>
    <workbookView xWindow="-108" yWindow="-108" windowWidth="23256" windowHeight="12456" activeTab="5" xr2:uid="{00000000-000D-0000-FFFF-FFFF00000000}"/>
  </bookViews>
  <sheets>
    <sheet name=" KPI1" sheetId="6" r:id="rId1"/>
    <sheet name="KPI2" sheetId="4" r:id="rId2"/>
    <sheet name="KPI3" sheetId="3" r:id="rId3"/>
    <sheet name="KPI4" sheetId="2" r:id="rId4"/>
    <sheet name="KPI5" sheetId="5" r:id="rId5"/>
    <sheet name="KPI6" sheetId="9" r:id="rId6"/>
    <sheet name="Cards" sheetId="11" r:id="rId7"/>
    <sheet name="Data" sheetId="1" r:id="rId8"/>
    <sheet name="Dashboard" sheetId="8" r:id="rId9"/>
  </sheets>
  <definedNames>
    <definedName name="Slicer_AI_Tool_Name">#N/A</definedName>
    <definedName name="Slicer_Category">#N/A</definedName>
    <definedName name="Slicer_Month">#N/A</definedName>
    <definedName name="Slicer_Year">#N/A</definedName>
  </definedNames>
  <calcPr calcId="191029"/>
  <pivotCaches>
    <pivotCache cacheId="4"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 i="11" l="1"/>
  <c r="B6" i="11"/>
  <c r="D6" i="11"/>
  <c r="A6" i="11"/>
</calcChain>
</file>

<file path=xl/sharedStrings.xml><?xml version="1.0" encoding="utf-8"?>
<sst xmlns="http://schemas.openxmlformats.org/spreadsheetml/2006/main" count="1508" uniqueCount="64">
  <si>
    <t>ID</t>
  </si>
  <si>
    <t>Month</t>
  </si>
  <si>
    <t>Year</t>
  </si>
  <si>
    <t>AI Tool Name</t>
  </si>
  <si>
    <t>Category</t>
  </si>
  <si>
    <t>Active Users (Millions)</t>
  </si>
  <si>
    <t>Growth %</t>
  </si>
  <si>
    <t>Social Mentions</t>
  </si>
  <si>
    <t>Website Visits (Millions)</t>
  </si>
  <si>
    <t>Rating (Out of 5)</t>
  </si>
  <si>
    <t>Jan</t>
  </si>
  <si>
    <t>Feb</t>
  </si>
  <si>
    <t>Mar</t>
  </si>
  <si>
    <t>Apr</t>
  </si>
  <si>
    <t>May</t>
  </si>
  <si>
    <t>Jun</t>
  </si>
  <si>
    <t>Jul</t>
  </si>
  <si>
    <t>Aug</t>
  </si>
  <si>
    <t>Sep</t>
  </si>
  <si>
    <t>Oct</t>
  </si>
  <si>
    <t>Nov</t>
  </si>
  <si>
    <t>Dec</t>
  </si>
  <si>
    <t>ChatGPT</t>
  </si>
  <si>
    <t>Gemini</t>
  </si>
  <si>
    <t>Claude</t>
  </si>
  <si>
    <t>Microsoft Copilot</t>
  </si>
  <si>
    <t>Midjourney</t>
  </si>
  <si>
    <t>DALL·E</t>
  </si>
  <si>
    <t>Notion AI</t>
  </si>
  <si>
    <t>Jasper AI</t>
  </si>
  <si>
    <t>Synthesia</t>
  </si>
  <si>
    <t>Runway ML</t>
  </si>
  <si>
    <t>Perplexity AI</t>
  </si>
  <si>
    <t>Canva Magic Studio</t>
  </si>
  <si>
    <t>Poe AI</t>
  </si>
  <si>
    <t>Character AI</t>
  </si>
  <si>
    <t>DeepL</t>
  </si>
  <si>
    <t>ElevenLabs</t>
  </si>
  <si>
    <t>Replit Ghostwriter</t>
  </si>
  <si>
    <t>GrammarlyGO</t>
  </si>
  <si>
    <t>Sora</t>
  </si>
  <si>
    <t>Descript</t>
  </si>
  <si>
    <t>Conversational AI</t>
  </si>
  <si>
    <t>Coding AI</t>
  </si>
  <si>
    <t>Image Generation</t>
  </si>
  <si>
    <t>Productivity AI</t>
  </si>
  <si>
    <t>Writing AI</t>
  </si>
  <si>
    <t>Video AI</t>
  </si>
  <si>
    <t>Search AI</t>
  </si>
  <si>
    <t>Design AI</t>
  </si>
  <si>
    <t>Chat Aggregator</t>
  </si>
  <si>
    <t>Translation AI</t>
  </si>
  <si>
    <t>Voice AI</t>
  </si>
  <si>
    <t>Audio AI</t>
  </si>
  <si>
    <t>Row Labels</t>
  </si>
  <si>
    <t>Grand Total</t>
  </si>
  <si>
    <t>Sum of Growth %</t>
  </si>
  <si>
    <t>Sum of Active Users (Millions)</t>
  </si>
  <si>
    <t>Column Labels</t>
  </si>
  <si>
    <t>Average of Rating (Out of 5)</t>
  </si>
  <si>
    <t>Total Sum of Website Visits (Millions)</t>
  </si>
  <si>
    <t>Sum of Website Visits (Millions)</t>
  </si>
  <si>
    <t>Total Sum of Social Mentions</t>
  </si>
  <si>
    <t>Sum of Social Mentions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</si>
</sst>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9" fontId="0" fillId="0" borderId="0" xfId="0" applyNumberFormat="1"/>
    <xf numFmtId="1" fontId="0" fillId="0" borderId="0" xfId="0" applyNumberFormat="1"/>
    <xf numFmtId="0" fontId="1" fillId="3" borderId="1" xfId="0" applyFont="1" applyFill="1" applyBorder="1" applyAlignment="1">
      <alignment horizontal="center" vertical="top"/>
    </xf>
  </cellXfs>
  <cellStyles count="1">
    <cellStyle name="Normal" xfId="0" builtinId="0"/>
  </cellStyles>
  <dxfs count="0"/>
  <tableStyles count="2" defaultTableStyle="TableStyleMedium9" defaultPivotStyle="PivotStyleLight16">
    <tableStyle name="Invisible" pivot="0" table="0" count="0" xr9:uid="{78C25E93-6E40-4BAF-A208-78B784056123}"/>
    <tableStyle name="Slicer Style 1" pivot="0" table="0" count="0" xr9:uid="{D7C9C645-F883-4144-81B0-C465B4C3B8EE}"/>
  </tableStyles>
  <colors>
    <mruColors>
      <color rgb="FF660066"/>
      <color rgb="FF28466A"/>
      <color rgb="FF990099"/>
      <color rgb="FF3399FF"/>
      <color rgb="FFFFCCFF"/>
      <color rgb="FF33CCCC"/>
      <color rgb="FF6600CC"/>
      <color rgb="FF0066CC"/>
      <color rgb="FF0033CC"/>
      <color rgb="FF0000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Tools Popularity.xlsx] KPI1!PivotTable5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Popularity</a:t>
            </a:r>
            <a:r>
              <a:rPr lang="en-IN" baseline="0"/>
              <a: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KPI1'!$B$3:$B$4</c:f>
              <c:strCache>
                <c:ptCount val="1"/>
                <c:pt idx="0">
                  <c:v>Jan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KPI1'!$B$5:$B$25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0-8018-4601-B096-7B6A31184650}"/>
            </c:ext>
          </c:extLst>
        </c:ser>
        <c:ser>
          <c:idx val="1"/>
          <c:order val="1"/>
          <c:tx>
            <c:strRef>
              <c:f>' KPI1'!$C$3:$C$4</c:f>
              <c:strCache>
                <c:ptCount val="1"/>
                <c:pt idx="0">
                  <c:v>Feb</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KPI1'!$C$5:$C$25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0-7546-47F9-A086-214CF52CD841}"/>
            </c:ext>
          </c:extLst>
        </c:ser>
        <c:ser>
          <c:idx val="2"/>
          <c:order val="2"/>
          <c:tx>
            <c:strRef>
              <c:f>' KPI1'!$D$3:$D$4</c:f>
              <c:strCache>
                <c:ptCount val="1"/>
                <c:pt idx="0">
                  <c:v>Mar</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KPI1'!$D$5:$D$25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1-7546-47F9-A086-214CF52CD841}"/>
            </c:ext>
          </c:extLst>
        </c:ser>
        <c:ser>
          <c:idx val="3"/>
          <c:order val="3"/>
          <c:tx>
            <c:strRef>
              <c:f>' KPI1'!$E$3:$E$4</c:f>
              <c:strCache>
                <c:ptCount val="1"/>
                <c:pt idx="0">
                  <c:v>Apr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KPI1'!$E$5:$E$25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2-7546-47F9-A086-214CF52CD841}"/>
            </c:ext>
          </c:extLst>
        </c:ser>
        <c:ser>
          <c:idx val="4"/>
          <c:order val="4"/>
          <c:tx>
            <c:strRef>
              <c:f>' KPI1'!$F$3:$F$4</c:f>
              <c:strCache>
                <c:ptCount val="1"/>
                <c:pt idx="0">
                  <c:v>May</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KPI1'!$F$5:$F$25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3-7546-47F9-A086-214CF52CD841}"/>
            </c:ext>
          </c:extLst>
        </c:ser>
        <c:ser>
          <c:idx val="5"/>
          <c:order val="5"/>
          <c:tx>
            <c:strRef>
              <c:f>' KPI1'!$G$3:$G$4</c:f>
              <c:strCache>
                <c:ptCount val="1"/>
                <c:pt idx="0">
                  <c:v>Jun</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KPI1'!$G$5:$G$25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4-7546-47F9-A086-214CF52CD841}"/>
            </c:ext>
          </c:extLst>
        </c:ser>
        <c:ser>
          <c:idx val="6"/>
          <c:order val="6"/>
          <c:tx>
            <c:strRef>
              <c:f>' KPI1'!$H$3:$H$4</c:f>
              <c:strCache>
                <c:ptCount val="1"/>
                <c:pt idx="0">
                  <c:v>Jul</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KPI1'!$H$5:$H$25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5-7546-47F9-A086-214CF52CD841}"/>
            </c:ext>
          </c:extLst>
        </c:ser>
        <c:ser>
          <c:idx val="7"/>
          <c:order val="7"/>
          <c:tx>
            <c:strRef>
              <c:f>' KPI1'!$I$3:$I$4</c:f>
              <c:strCache>
                <c:ptCount val="1"/>
                <c:pt idx="0">
                  <c:v>Aug</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KPI1'!$I$5:$I$25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6-7546-47F9-A086-214CF52CD841}"/>
            </c:ext>
          </c:extLst>
        </c:ser>
        <c:ser>
          <c:idx val="8"/>
          <c:order val="8"/>
          <c:tx>
            <c:strRef>
              <c:f>' KPI1'!$J$3:$J$4</c:f>
              <c:strCache>
                <c:ptCount val="1"/>
                <c:pt idx="0">
                  <c:v>Sep</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KPI1'!$J$5:$J$25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7-7546-47F9-A086-214CF52CD841}"/>
            </c:ext>
          </c:extLst>
        </c:ser>
        <c:ser>
          <c:idx val="9"/>
          <c:order val="9"/>
          <c:tx>
            <c:strRef>
              <c:f>' KPI1'!$K$3:$K$4</c:f>
              <c:strCache>
                <c:ptCount val="1"/>
                <c:pt idx="0">
                  <c:v>Oct</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KPI1'!$K$5:$K$25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8-7546-47F9-A086-214CF52CD841}"/>
            </c:ext>
          </c:extLst>
        </c:ser>
        <c:dLbls>
          <c:showLegendKey val="0"/>
          <c:showVal val="0"/>
          <c:showCatName val="0"/>
          <c:showSerName val="0"/>
          <c:showPercent val="0"/>
          <c:showBubbleSize val="0"/>
        </c:dLbls>
        <c:marker val="1"/>
        <c:smooth val="0"/>
        <c:axId val="2109520095"/>
        <c:axId val="2109513855"/>
      </c:lineChart>
      <c:catAx>
        <c:axId val="2109520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13855"/>
        <c:crosses val="autoZero"/>
        <c:auto val="1"/>
        <c:lblAlgn val="ctr"/>
        <c:lblOffset val="100"/>
        <c:noMultiLvlLbl val="0"/>
      </c:catAx>
      <c:valAx>
        <c:axId val="210951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2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Tools Popularity.xlsx]KPI2!PivotTable3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Monthwise Growth of tools</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'KPI2'!$B$3:$B$4</c:f>
              <c:strCache>
                <c:ptCount val="1"/>
                <c:pt idx="0">
                  <c:v>Canva Magic Studio</c:v>
                </c:pt>
              </c:strCache>
            </c:strRef>
          </c:tx>
          <c:spPr>
            <a:solidFill>
              <a:schemeClr val="accent1"/>
            </a:solidFill>
            <a:ln>
              <a:noFill/>
            </a:ln>
            <a:effectLst/>
          </c:spPr>
          <c:invertIfNegative val="0"/>
          <c:cat>
            <c:strRef>
              <c:f>'KPI2'!$A$5:$A$10</c:f>
              <c:strCache>
                <c:ptCount val="5"/>
                <c:pt idx="0">
                  <c:v>Jan</c:v>
                </c:pt>
                <c:pt idx="1">
                  <c:v>Mar</c:v>
                </c:pt>
                <c:pt idx="2">
                  <c:v>May</c:v>
                </c:pt>
                <c:pt idx="3">
                  <c:v>Aug</c:v>
                </c:pt>
                <c:pt idx="4">
                  <c:v>Oct</c:v>
                </c:pt>
              </c:strCache>
            </c:strRef>
          </c:cat>
          <c:val>
            <c:numRef>
              <c:f>'KPI2'!$B$5:$B$10</c:f>
              <c:numCache>
                <c:formatCode>General</c:formatCode>
                <c:ptCount val="5"/>
                <c:pt idx="0">
                  <c:v>9.6</c:v>
                </c:pt>
                <c:pt idx="1">
                  <c:v>4.5</c:v>
                </c:pt>
                <c:pt idx="2">
                  <c:v>5.0999999999999996</c:v>
                </c:pt>
                <c:pt idx="3">
                  <c:v>4.8</c:v>
                </c:pt>
                <c:pt idx="4">
                  <c:v>6.9</c:v>
                </c:pt>
              </c:numCache>
            </c:numRef>
          </c:val>
          <c:extLst>
            <c:ext xmlns:c16="http://schemas.microsoft.com/office/drawing/2014/chart" uri="{C3380CC4-5D6E-409C-BE32-E72D297353CC}">
              <c16:uniqueId val="{00000000-DACC-4925-BA8A-447995ABC6B4}"/>
            </c:ext>
          </c:extLst>
        </c:ser>
        <c:ser>
          <c:idx val="1"/>
          <c:order val="1"/>
          <c:tx>
            <c:strRef>
              <c:f>'KPI2'!$C$3:$C$4</c:f>
              <c:strCache>
                <c:ptCount val="1"/>
                <c:pt idx="0">
                  <c:v>Character AI</c:v>
                </c:pt>
              </c:strCache>
            </c:strRef>
          </c:tx>
          <c:spPr>
            <a:solidFill>
              <a:schemeClr val="accent2"/>
            </a:solidFill>
            <a:ln>
              <a:noFill/>
            </a:ln>
            <a:effectLst/>
          </c:spPr>
          <c:invertIfNegative val="0"/>
          <c:cat>
            <c:strRef>
              <c:f>'KPI2'!$A$5:$A$10</c:f>
              <c:strCache>
                <c:ptCount val="5"/>
                <c:pt idx="0">
                  <c:v>Jan</c:v>
                </c:pt>
                <c:pt idx="1">
                  <c:v>Mar</c:v>
                </c:pt>
                <c:pt idx="2">
                  <c:v>May</c:v>
                </c:pt>
                <c:pt idx="3">
                  <c:v>Aug</c:v>
                </c:pt>
                <c:pt idx="4">
                  <c:v>Oct</c:v>
                </c:pt>
              </c:strCache>
            </c:strRef>
          </c:cat>
          <c:val>
            <c:numRef>
              <c:f>'KPI2'!$C$5:$C$10</c:f>
              <c:numCache>
                <c:formatCode>General</c:formatCode>
                <c:ptCount val="5"/>
                <c:pt idx="0">
                  <c:v>5.4</c:v>
                </c:pt>
                <c:pt idx="1">
                  <c:v>3.6</c:v>
                </c:pt>
                <c:pt idx="2">
                  <c:v>2.1</c:v>
                </c:pt>
                <c:pt idx="3">
                  <c:v>9.6999999999999993</c:v>
                </c:pt>
                <c:pt idx="4">
                  <c:v>7.7</c:v>
                </c:pt>
              </c:numCache>
            </c:numRef>
          </c:val>
          <c:extLst>
            <c:ext xmlns:c16="http://schemas.microsoft.com/office/drawing/2014/chart" uri="{C3380CC4-5D6E-409C-BE32-E72D297353CC}">
              <c16:uniqueId val="{00000001-2DB4-4C69-9E05-664D757EF52B}"/>
            </c:ext>
          </c:extLst>
        </c:ser>
        <c:ser>
          <c:idx val="2"/>
          <c:order val="2"/>
          <c:tx>
            <c:strRef>
              <c:f>'KPI2'!$D$3:$D$4</c:f>
              <c:strCache>
                <c:ptCount val="1"/>
                <c:pt idx="0">
                  <c:v>ChatGPT</c:v>
                </c:pt>
              </c:strCache>
            </c:strRef>
          </c:tx>
          <c:spPr>
            <a:solidFill>
              <a:schemeClr val="accent3"/>
            </a:solidFill>
            <a:ln>
              <a:noFill/>
            </a:ln>
            <a:effectLst/>
          </c:spPr>
          <c:invertIfNegative val="0"/>
          <c:cat>
            <c:strRef>
              <c:f>'KPI2'!$A$5:$A$10</c:f>
              <c:strCache>
                <c:ptCount val="5"/>
                <c:pt idx="0">
                  <c:v>Jan</c:v>
                </c:pt>
                <c:pt idx="1">
                  <c:v>Mar</c:v>
                </c:pt>
                <c:pt idx="2">
                  <c:v>May</c:v>
                </c:pt>
                <c:pt idx="3">
                  <c:v>Aug</c:v>
                </c:pt>
                <c:pt idx="4">
                  <c:v>Oct</c:v>
                </c:pt>
              </c:strCache>
            </c:strRef>
          </c:cat>
          <c:val>
            <c:numRef>
              <c:f>'KPI2'!$D$5:$D$10</c:f>
              <c:numCache>
                <c:formatCode>General</c:formatCode>
                <c:ptCount val="5"/>
                <c:pt idx="0">
                  <c:v>3</c:v>
                </c:pt>
                <c:pt idx="1">
                  <c:v>8.3000000000000007</c:v>
                </c:pt>
                <c:pt idx="2">
                  <c:v>9.3000000000000007</c:v>
                </c:pt>
                <c:pt idx="3">
                  <c:v>3.8</c:v>
                </c:pt>
                <c:pt idx="4">
                  <c:v>3.5</c:v>
                </c:pt>
              </c:numCache>
            </c:numRef>
          </c:val>
          <c:extLst>
            <c:ext xmlns:c16="http://schemas.microsoft.com/office/drawing/2014/chart" uri="{C3380CC4-5D6E-409C-BE32-E72D297353CC}">
              <c16:uniqueId val="{00000002-2DB4-4C69-9E05-664D757EF52B}"/>
            </c:ext>
          </c:extLst>
        </c:ser>
        <c:ser>
          <c:idx val="3"/>
          <c:order val="3"/>
          <c:tx>
            <c:strRef>
              <c:f>'KPI2'!$E$3:$E$4</c:f>
              <c:strCache>
                <c:ptCount val="1"/>
                <c:pt idx="0">
                  <c:v>Claude</c:v>
                </c:pt>
              </c:strCache>
            </c:strRef>
          </c:tx>
          <c:spPr>
            <a:solidFill>
              <a:schemeClr val="accent4"/>
            </a:solidFill>
            <a:ln>
              <a:noFill/>
            </a:ln>
            <a:effectLst/>
          </c:spPr>
          <c:invertIfNegative val="0"/>
          <c:cat>
            <c:strRef>
              <c:f>'KPI2'!$A$5:$A$10</c:f>
              <c:strCache>
                <c:ptCount val="5"/>
                <c:pt idx="0">
                  <c:v>Jan</c:v>
                </c:pt>
                <c:pt idx="1">
                  <c:v>Mar</c:v>
                </c:pt>
                <c:pt idx="2">
                  <c:v>May</c:v>
                </c:pt>
                <c:pt idx="3">
                  <c:v>Aug</c:v>
                </c:pt>
                <c:pt idx="4">
                  <c:v>Oct</c:v>
                </c:pt>
              </c:strCache>
            </c:strRef>
          </c:cat>
          <c:val>
            <c:numRef>
              <c:f>'KPI2'!$E$5:$E$10</c:f>
              <c:numCache>
                <c:formatCode>General</c:formatCode>
                <c:ptCount val="5"/>
                <c:pt idx="0">
                  <c:v>7.9</c:v>
                </c:pt>
                <c:pt idx="1">
                  <c:v>5.4</c:v>
                </c:pt>
                <c:pt idx="2">
                  <c:v>8.1999999999999993</c:v>
                </c:pt>
                <c:pt idx="3">
                  <c:v>9.8000000000000007</c:v>
                </c:pt>
                <c:pt idx="4">
                  <c:v>7.4</c:v>
                </c:pt>
              </c:numCache>
            </c:numRef>
          </c:val>
          <c:extLst>
            <c:ext xmlns:c16="http://schemas.microsoft.com/office/drawing/2014/chart" uri="{C3380CC4-5D6E-409C-BE32-E72D297353CC}">
              <c16:uniqueId val="{00000003-2DB4-4C69-9E05-664D757EF52B}"/>
            </c:ext>
          </c:extLst>
        </c:ser>
        <c:ser>
          <c:idx val="4"/>
          <c:order val="4"/>
          <c:tx>
            <c:strRef>
              <c:f>'KPI2'!$F$3:$F$4</c:f>
              <c:strCache>
                <c:ptCount val="1"/>
                <c:pt idx="0">
                  <c:v>DALL·E</c:v>
                </c:pt>
              </c:strCache>
            </c:strRef>
          </c:tx>
          <c:spPr>
            <a:solidFill>
              <a:schemeClr val="accent5"/>
            </a:solidFill>
            <a:ln>
              <a:noFill/>
            </a:ln>
            <a:effectLst/>
          </c:spPr>
          <c:invertIfNegative val="0"/>
          <c:cat>
            <c:strRef>
              <c:f>'KPI2'!$A$5:$A$10</c:f>
              <c:strCache>
                <c:ptCount val="5"/>
                <c:pt idx="0">
                  <c:v>Jan</c:v>
                </c:pt>
                <c:pt idx="1">
                  <c:v>Mar</c:v>
                </c:pt>
                <c:pt idx="2">
                  <c:v>May</c:v>
                </c:pt>
                <c:pt idx="3">
                  <c:v>Aug</c:v>
                </c:pt>
                <c:pt idx="4">
                  <c:v>Oct</c:v>
                </c:pt>
              </c:strCache>
            </c:strRef>
          </c:cat>
          <c:val>
            <c:numRef>
              <c:f>'KPI2'!$F$5:$F$10</c:f>
              <c:numCache>
                <c:formatCode>General</c:formatCode>
                <c:ptCount val="5"/>
                <c:pt idx="0">
                  <c:v>8.1</c:v>
                </c:pt>
                <c:pt idx="1">
                  <c:v>8.3000000000000007</c:v>
                </c:pt>
                <c:pt idx="2">
                  <c:v>6.4</c:v>
                </c:pt>
                <c:pt idx="3">
                  <c:v>6.9</c:v>
                </c:pt>
                <c:pt idx="4">
                  <c:v>8.6999999999999993</c:v>
                </c:pt>
              </c:numCache>
            </c:numRef>
          </c:val>
          <c:extLst>
            <c:ext xmlns:c16="http://schemas.microsoft.com/office/drawing/2014/chart" uri="{C3380CC4-5D6E-409C-BE32-E72D297353CC}">
              <c16:uniqueId val="{00000004-2DB4-4C69-9E05-664D757EF52B}"/>
            </c:ext>
          </c:extLst>
        </c:ser>
        <c:ser>
          <c:idx val="5"/>
          <c:order val="5"/>
          <c:tx>
            <c:strRef>
              <c:f>'KPI2'!$G$3:$G$4</c:f>
              <c:strCache>
                <c:ptCount val="1"/>
                <c:pt idx="0">
                  <c:v>DeepL</c:v>
                </c:pt>
              </c:strCache>
            </c:strRef>
          </c:tx>
          <c:spPr>
            <a:solidFill>
              <a:schemeClr val="accent6"/>
            </a:solidFill>
            <a:ln>
              <a:noFill/>
            </a:ln>
            <a:effectLst/>
          </c:spPr>
          <c:invertIfNegative val="0"/>
          <c:cat>
            <c:strRef>
              <c:f>'KPI2'!$A$5:$A$10</c:f>
              <c:strCache>
                <c:ptCount val="5"/>
                <c:pt idx="0">
                  <c:v>Jan</c:v>
                </c:pt>
                <c:pt idx="1">
                  <c:v>Mar</c:v>
                </c:pt>
                <c:pt idx="2">
                  <c:v>May</c:v>
                </c:pt>
                <c:pt idx="3">
                  <c:v>Aug</c:v>
                </c:pt>
                <c:pt idx="4">
                  <c:v>Oct</c:v>
                </c:pt>
              </c:strCache>
            </c:strRef>
          </c:cat>
          <c:val>
            <c:numRef>
              <c:f>'KPI2'!$G$5:$G$10</c:f>
              <c:numCache>
                <c:formatCode>General</c:formatCode>
                <c:ptCount val="5"/>
                <c:pt idx="0">
                  <c:v>9.1999999999999993</c:v>
                </c:pt>
                <c:pt idx="1">
                  <c:v>5.2</c:v>
                </c:pt>
                <c:pt idx="2">
                  <c:v>8.4</c:v>
                </c:pt>
                <c:pt idx="3">
                  <c:v>4.5</c:v>
                </c:pt>
                <c:pt idx="4">
                  <c:v>4.4000000000000004</c:v>
                </c:pt>
              </c:numCache>
            </c:numRef>
          </c:val>
          <c:extLst>
            <c:ext xmlns:c16="http://schemas.microsoft.com/office/drawing/2014/chart" uri="{C3380CC4-5D6E-409C-BE32-E72D297353CC}">
              <c16:uniqueId val="{00000005-2DB4-4C69-9E05-664D757EF52B}"/>
            </c:ext>
          </c:extLst>
        </c:ser>
        <c:ser>
          <c:idx val="6"/>
          <c:order val="6"/>
          <c:tx>
            <c:strRef>
              <c:f>'KPI2'!$H$3:$H$4</c:f>
              <c:strCache>
                <c:ptCount val="1"/>
                <c:pt idx="0">
                  <c:v>Descript</c:v>
                </c:pt>
              </c:strCache>
            </c:strRef>
          </c:tx>
          <c:spPr>
            <a:solidFill>
              <a:schemeClr val="accent1">
                <a:lumMod val="6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'KPI2'!$H$5:$H$10</c:f>
              <c:numCache>
                <c:formatCode>General</c:formatCode>
                <c:ptCount val="5"/>
                <c:pt idx="0">
                  <c:v>9.6</c:v>
                </c:pt>
                <c:pt idx="1">
                  <c:v>9.9</c:v>
                </c:pt>
                <c:pt idx="2">
                  <c:v>6.4</c:v>
                </c:pt>
                <c:pt idx="3">
                  <c:v>3.5</c:v>
                </c:pt>
                <c:pt idx="4">
                  <c:v>8.5</c:v>
                </c:pt>
              </c:numCache>
            </c:numRef>
          </c:val>
          <c:extLst>
            <c:ext xmlns:c16="http://schemas.microsoft.com/office/drawing/2014/chart" uri="{C3380CC4-5D6E-409C-BE32-E72D297353CC}">
              <c16:uniqueId val="{00000006-2DB4-4C69-9E05-664D757EF52B}"/>
            </c:ext>
          </c:extLst>
        </c:ser>
        <c:ser>
          <c:idx val="7"/>
          <c:order val="7"/>
          <c:tx>
            <c:strRef>
              <c:f>'KPI2'!$I$3:$I$4</c:f>
              <c:strCache>
                <c:ptCount val="1"/>
                <c:pt idx="0">
                  <c:v>ElevenLabs</c:v>
                </c:pt>
              </c:strCache>
            </c:strRef>
          </c:tx>
          <c:spPr>
            <a:solidFill>
              <a:schemeClr val="accent2">
                <a:lumMod val="6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'KPI2'!$I$5:$I$10</c:f>
              <c:numCache>
                <c:formatCode>General</c:formatCode>
                <c:ptCount val="5"/>
                <c:pt idx="0">
                  <c:v>6.3</c:v>
                </c:pt>
                <c:pt idx="1">
                  <c:v>7.6</c:v>
                </c:pt>
                <c:pt idx="2">
                  <c:v>6.9</c:v>
                </c:pt>
                <c:pt idx="3">
                  <c:v>8.1999999999999993</c:v>
                </c:pt>
                <c:pt idx="4">
                  <c:v>5.2</c:v>
                </c:pt>
              </c:numCache>
            </c:numRef>
          </c:val>
          <c:extLst>
            <c:ext xmlns:c16="http://schemas.microsoft.com/office/drawing/2014/chart" uri="{C3380CC4-5D6E-409C-BE32-E72D297353CC}">
              <c16:uniqueId val="{00000007-2DB4-4C69-9E05-664D757EF52B}"/>
            </c:ext>
          </c:extLst>
        </c:ser>
        <c:ser>
          <c:idx val="8"/>
          <c:order val="8"/>
          <c:tx>
            <c:strRef>
              <c:f>'KPI2'!$J$3:$J$4</c:f>
              <c:strCache>
                <c:ptCount val="1"/>
                <c:pt idx="0">
                  <c:v>Gemini</c:v>
                </c:pt>
              </c:strCache>
            </c:strRef>
          </c:tx>
          <c:spPr>
            <a:solidFill>
              <a:schemeClr val="accent3">
                <a:lumMod val="6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'KPI2'!$J$5:$J$10</c:f>
              <c:numCache>
                <c:formatCode>General</c:formatCode>
                <c:ptCount val="5"/>
                <c:pt idx="0">
                  <c:v>7.5</c:v>
                </c:pt>
                <c:pt idx="1">
                  <c:v>9.4</c:v>
                </c:pt>
                <c:pt idx="2">
                  <c:v>7.2</c:v>
                </c:pt>
                <c:pt idx="3">
                  <c:v>3.3</c:v>
                </c:pt>
                <c:pt idx="4">
                  <c:v>9.6</c:v>
                </c:pt>
              </c:numCache>
            </c:numRef>
          </c:val>
          <c:extLst>
            <c:ext xmlns:c16="http://schemas.microsoft.com/office/drawing/2014/chart" uri="{C3380CC4-5D6E-409C-BE32-E72D297353CC}">
              <c16:uniqueId val="{00000008-2DB4-4C69-9E05-664D757EF52B}"/>
            </c:ext>
          </c:extLst>
        </c:ser>
        <c:ser>
          <c:idx val="9"/>
          <c:order val="9"/>
          <c:tx>
            <c:strRef>
              <c:f>'KPI2'!$K$3:$K$4</c:f>
              <c:strCache>
                <c:ptCount val="1"/>
                <c:pt idx="0">
                  <c:v>GrammarlyGO</c:v>
                </c:pt>
              </c:strCache>
            </c:strRef>
          </c:tx>
          <c:spPr>
            <a:solidFill>
              <a:schemeClr val="accent4">
                <a:lumMod val="6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'KPI2'!$K$5:$K$10</c:f>
              <c:numCache>
                <c:formatCode>General</c:formatCode>
                <c:ptCount val="5"/>
                <c:pt idx="0">
                  <c:v>8.6999999999999993</c:v>
                </c:pt>
                <c:pt idx="1">
                  <c:v>2.7</c:v>
                </c:pt>
                <c:pt idx="2">
                  <c:v>5.4</c:v>
                </c:pt>
                <c:pt idx="3">
                  <c:v>4.5999999999999996</c:v>
                </c:pt>
                <c:pt idx="4">
                  <c:v>8.4</c:v>
                </c:pt>
              </c:numCache>
            </c:numRef>
          </c:val>
          <c:extLst>
            <c:ext xmlns:c16="http://schemas.microsoft.com/office/drawing/2014/chart" uri="{C3380CC4-5D6E-409C-BE32-E72D297353CC}">
              <c16:uniqueId val="{00000009-2DB4-4C69-9E05-664D757EF52B}"/>
            </c:ext>
          </c:extLst>
        </c:ser>
        <c:ser>
          <c:idx val="10"/>
          <c:order val="10"/>
          <c:tx>
            <c:strRef>
              <c:f>'KPI2'!$L$3:$L$4</c:f>
              <c:strCache>
                <c:ptCount val="1"/>
                <c:pt idx="0">
                  <c:v>Jasper AI</c:v>
                </c:pt>
              </c:strCache>
            </c:strRef>
          </c:tx>
          <c:spPr>
            <a:solidFill>
              <a:schemeClr val="accent5">
                <a:lumMod val="6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'KPI2'!$L$5:$L$10</c:f>
              <c:numCache>
                <c:formatCode>General</c:formatCode>
                <c:ptCount val="5"/>
                <c:pt idx="0">
                  <c:v>9.6999999999999993</c:v>
                </c:pt>
                <c:pt idx="1">
                  <c:v>4.7</c:v>
                </c:pt>
                <c:pt idx="2">
                  <c:v>5</c:v>
                </c:pt>
                <c:pt idx="3">
                  <c:v>2.4</c:v>
                </c:pt>
                <c:pt idx="4">
                  <c:v>4.8</c:v>
                </c:pt>
              </c:numCache>
            </c:numRef>
          </c:val>
          <c:extLst>
            <c:ext xmlns:c16="http://schemas.microsoft.com/office/drawing/2014/chart" uri="{C3380CC4-5D6E-409C-BE32-E72D297353CC}">
              <c16:uniqueId val="{0000000A-2DB4-4C69-9E05-664D757EF52B}"/>
            </c:ext>
          </c:extLst>
        </c:ser>
        <c:ser>
          <c:idx val="11"/>
          <c:order val="11"/>
          <c:tx>
            <c:strRef>
              <c:f>'KPI2'!$M$3:$M$4</c:f>
              <c:strCache>
                <c:ptCount val="1"/>
                <c:pt idx="0">
                  <c:v>Microsoft Copilot</c:v>
                </c:pt>
              </c:strCache>
            </c:strRef>
          </c:tx>
          <c:spPr>
            <a:solidFill>
              <a:schemeClr val="accent6">
                <a:lumMod val="6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'KPI2'!$M$5:$M$10</c:f>
              <c:numCache>
                <c:formatCode>General</c:formatCode>
                <c:ptCount val="5"/>
                <c:pt idx="0">
                  <c:v>9.1</c:v>
                </c:pt>
                <c:pt idx="1">
                  <c:v>3.3</c:v>
                </c:pt>
                <c:pt idx="2">
                  <c:v>9.6</c:v>
                </c:pt>
                <c:pt idx="3">
                  <c:v>9.9</c:v>
                </c:pt>
                <c:pt idx="4">
                  <c:v>2.6</c:v>
                </c:pt>
              </c:numCache>
            </c:numRef>
          </c:val>
          <c:extLst>
            <c:ext xmlns:c16="http://schemas.microsoft.com/office/drawing/2014/chart" uri="{C3380CC4-5D6E-409C-BE32-E72D297353CC}">
              <c16:uniqueId val="{0000000B-2DB4-4C69-9E05-664D757EF52B}"/>
            </c:ext>
          </c:extLst>
        </c:ser>
        <c:ser>
          <c:idx val="12"/>
          <c:order val="12"/>
          <c:tx>
            <c:strRef>
              <c:f>'KPI2'!$N$3:$N$4</c:f>
              <c:strCache>
                <c:ptCount val="1"/>
                <c:pt idx="0">
                  <c:v>Midjourney</c:v>
                </c:pt>
              </c:strCache>
            </c:strRef>
          </c:tx>
          <c:spPr>
            <a:solidFill>
              <a:schemeClr val="accent1">
                <a:lumMod val="80000"/>
                <a:lumOff val="2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'KPI2'!$N$5:$N$10</c:f>
              <c:numCache>
                <c:formatCode>General</c:formatCode>
                <c:ptCount val="5"/>
                <c:pt idx="0">
                  <c:v>5.5</c:v>
                </c:pt>
                <c:pt idx="1">
                  <c:v>5.0999999999999996</c:v>
                </c:pt>
                <c:pt idx="2">
                  <c:v>9.1999999999999993</c:v>
                </c:pt>
                <c:pt idx="3">
                  <c:v>6.6</c:v>
                </c:pt>
                <c:pt idx="4">
                  <c:v>3.9</c:v>
                </c:pt>
              </c:numCache>
            </c:numRef>
          </c:val>
          <c:extLst>
            <c:ext xmlns:c16="http://schemas.microsoft.com/office/drawing/2014/chart" uri="{C3380CC4-5D6E-409C-BE32-E72D297353CC}">
              <c16:uniqueId val="{0000000C-2DB4-4C69-9E05-664D757EF52B}"/>
            </c:ext>
          </c:extLst>
        </c:ser>
        <c:ser>
          <c:idx val="13"/>
          <c:order val="13"/>
          <c:tx>
            <c:strRef>
              <c:f>'KPI2'!$O$3:$O$4</c:f>
              <c:strCache>
                <c:ptCount val="1"/>
                <c:pt idx="0">
                  <c:v>Notion AI</c:v>
                </c:pt>
              </c:strCache>
            </c:strRef>
          </c:tx>
          <c:spPr>
            <a:solidFill>
              <a:schemeClr val="accent2">
                <a:lumMod val="80000"/>
                <a:lumOff val="2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'KPI2'!$O$5:$O$10</c:f>
              <c:numCache>
                <c:formatCode>General</c:formatCode>
                <c:ptCount val="5"/>
                <c:pt idx="0">
                  <c:v>8.1</c:v>
                </c:pt>
                <c:pt idx="1">
                  <c:v>9.6</c:v>
                </c:pt>
                <c:pt idx="2">
                  <c:v>5.2</c:v>
                </c:pt>
                <c:pt idx="3">
                  <c:v>7.4</c:v>
                </c:pt>
                <c:pt idx="4">
                  <c:v>5.7</c:v>
                </c:pt>
              </c:numCache>
            </c:numRef>
          </c:val>
          <c:extLst>
            <c:ext xmlns:c16="http://schemas.microsoft.com/office/drawing/2014/chart" uri="{C3380CC4-5D6E-409C-BE32-E72D297353CC}">
              <c16:uniqueId val="{0000000D-2DB4-4C69-9E05-664D757EF52B}"/>
            </c:ext>
          </c:extLst>
        </c:ser>
        <c:ser>
          <c:idx val="14"/>
          <c:order val="14"/>
          <c:tx>
            <c:strRef>
              <c:f>'KPI2'!$P$3:$P$4</c:f>
              <c:strCache>
                <c:ptCount val="1"/>
                <c:pt idx="0">
                  <c:v>Perplexity AI</c:v>
                </c:pt>
              </c:strCache>
            </c:strRef>
          </c:tx>
          <c:spPr>
            <a:solidFill>
              <a:schemeClr val="accent3">
                <a:lumMod val="80000"/>
                <a:lumOff val="2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'KPI2'!$P$5:$P$10</c:f>
              <c:numCache>
                <c:formatCode>General</c:formatCode>
                <c:ptCount val="5"/>
                <c:pt idx="0">
                  <c:v>2.8</c:v>
                </c:pt>
                <c:pt idx="1">
                  <c:v>9.1999999999999993</c:v>
                </c:pt>
                <c:pt idx="2">
                  <c:v>2.7</c:v>
                </c:pt>
                <c:pt idx="3">
                  <c:v>7.7</c:v>
                </c:pt>
                <c:pt idx="4">
                  <c:v>9</c:v>
                </c:pt>
              </c:numCache>
            </c:numRef>
          </c:val>
          <c:extLst>
            <c:ext xmlns:c16="http://schemas.microsoft.com/office/drawing/2014/chart" uri="{C3380CC4-5D6E-409C-BE32-E72D297353CC}">
              <c16:uniqueId val="{0000000E-2DB4-4C69-9E05-664D757EF52B}"/>
            </c:ext>
          </c:extLst>
        </c:ser>
        <c:ser>
          <c:idx val="15"/>
          <c:order val="15"/>
          <c:tx>
            <c:strRef>
              <c:f>'KPI2'!$Q$3:$Q$4</c:f>
              <c:strCache>
                <c:ptCount val="1"/>
                <c:pt idx="0">
                  <c:v>Poe AI</c:v>
                </c:pt>
              </c:strCache>
            </c:strRef>
          </c:tx>
          <c:spPr>
            <a:solidFill>
              <a:schemeClr val="accent4">
                <a:lumMod val="80000"/>
                <a:lumOff val="2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'KPI2'!$Q$5:$Q$10</c:f>
              <c:numCache>
                <c:formatCode>General</c:formatCode>
                <c:ptCount val="5"/>
                <c:pt idx="0">
                  <c:v>9.8000000000000007</c:v>
                </c:pt>
                <c:pt idx="1">
                  <c:v>8.6</c:v>
                </c:pt>
                <c:pt idx="2">
                  <c:v>5.9</c:v>
                </c:pt>
                <c:pt idx="3">
                  <c:v>4.0999999999999996</c:v>
                </c:pt>
                <c:pt idx="4">
                  <c:v>6.8</c:v>
                </c:pt>
              </c:numCache>
            </c:numRef>
          </c:val>
          <c:extLst>
            <c:ext xmlns:c16="http://schemas.microsoft.com/office/drawing/2014/chart" uri="{C3380CC4-5D6E-409C-BE32-E72D297353CC}">
              <c16:uniqueId val="{0000000F-2DB4-4C69-9E05-664D757EF52B}"/>
            </c:ext>
          </c:extLst>
        </c:ser>
        <c:ser>
          <c:idx val="16"/>
          <c:order val="16"/>
          <c:tx>
            <c:strRef>
              <c:f>'KPI2'!$R$3:$R$4</c:f>
              <c:strCache>
                <c:ptCount val="1"/>
                <c:pt idx="0">
                  <c:v>Replit Ghostwriter</c:v>
                </c:pt>
              </c:strCache>
            </c:strRef>
          </c:tx>
          <c:spPr>
            <a:solidFill>
              <a:schemeClr val="accent5">
                <a:lumMod val="80000"/>
                <a:lumOff val="2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'KPI2'!$R$5:$R$10</c:f>
              <c:numCache>
                <c:formatCode>General</c:formatCode>
                <c:ptCount val="5"/>
                <c:pt idx="0">
                  <c:v>7.5</c:v>
                </c:pt>
                <c:pt idx="1">
                  <c:v>3.3</c:v>
                </c:pt>
                <c:pt idx="2">
                  <c:v>6.9</c:v>
                </c:pt>
                <c:pt idx="3">
                  <c:v>7.1</c:v>
                </c:pt>
                <c:pt idx="4">
                  <c:v>3.5</c:v>
                </c:pt>
              </c:numCache>
            </c:numRef>
          </c:val>
          <c:extLst>
            <c:ext xmlns:c16="http://schemas.microsoft.com/office/drawing/2014/chart" uri="{C3380CC4-5D6E-409C-BE32-E72D297353CC}">
              <c16:uniqueId val="{00000010-2DB4-4C69-9E05-664D757EF52B}"/>
            </c:ext>
          </c:extLst>
        </c:ser>
        <c:ser>
          <c:idx val="17"/>
          <c:order val="17"/>
          <c:tx>
            <c:strRef>
              <c:f>'KPI2'!$S$3:$S$4</c:f>
              <c:strCache>
                <c:ptCount val="1"/>
                <c:pt idx="0">
                  <c:v>Runway ML</c:v>
                </c:pt>
              </c:strCache>
            </c:strRef>
          </c:tx>
          <c:spPr>
            <a:solidFill>
              <a:schemeClr val="accent6">
                <a:lumMod val="80000"/>
                <a:lumOff val="2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'KPI2'!$S$5:$S$10</c:f>
              <c:numCache>
                <c:formatCode>General</c:formatCode>
                <c:ptCount val="5"/>
                <c:pt idx="0">
                  <c:v>5.6</c:v>
                </c:pt>
                <c:pt idx="1">
                  <c:v>5.5</c:v>
                </c:pt>
                <c:pt idx="2">
                  <c:v>8.3000000000000007</c:v>
                </c:pt>
                <c:pt idx="3">
                  <c:v>7.8</c:v>
                </c:pt>
                <c:pt idx="4">
                  <c:v>4.8</c:v>
                </c:pt>
              </c:numCache>
            </c:numRef>
          </c:val>
          <c:extLst>
            <c:ext xmlns:c16="http://schemas.microsoft.com/office/drawing/2014/chart" uri="{C3380CC4-5D6E-409C-BE32-E72D297353CC}">
              <c16:uniqueId val="{00000011-2DB4-4C69-9E05-664D757EF52B}"/>
            </c:ext>
          </c:extLst>
        </c:ser>
        <c:ser>
          <c:idx val="18"/>
          <c:order val="18"/>
          <c:tx>
            <c:strRef>
              <c:f>'KPI2'!$T$3:$T$4</c:f>
              <c:strCache>
                <c:ptCount val="1"/>
                <c:pt idx="0">
                  <c:v>Sora</c:v>
                </c:pt>
              </c:strCache>
            </c:strRef>
          </c:tx>
          <c:spPr>
            <a:solidFill>
              <a:schemeClr val="accent1">
                <a:lumMod val="8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'KPI2'!$T$5:$T$10</c:f>
              <c:numCache>
                <c:formatCode>General</c:formatCode>
                <c:ptCount val="5"/>
                <c:pt idx="0">
                  <c:v>9</c:v>
                </c:pt>
                <c:pt idx="1">
                  <c:v>3.8</c:v>
                </c:pt>
                <c:pt idx="2">
                  <c:v>3.2</c:v>
                </c:pt>
                <c:pt idx="3">
                  <c:v>5.3</c:v>
                </c:pt>
                <c:pt idx="4">
                  <c:v>7.1</c:v>
                </c:pt>
              </c:numCache>
            </c:numRef>
          </c:val>
          <c:extLst>
            <c:ext xmlns:c16="http://schemas.microsoft.com/office/drawing/2014/chart" uri="{C3380CC4-5D6E-409C-BE32-E72D297353CC}">
              <c16:uniqueId val="{00000012-2DB4-4C69-9E05-664D757EF52B}"/>
            </c:ext>
          </c:extLst>
        </c:ser>
        <c:ser>
          <c:idx val="19"/>
          <c:order val="19"/>
          <c:tx>
            <c:strRef>
              <c:f>'KPI2'!$U$3:$U$4</c:f>
              <c:strCache>
                <c:ptCount val="1"/>
                <c:pt idx="0">
                  <c:v>Synthesia</c:v>
                </c:pt>
              </c:strCache>
            </c:strRef>
          </c:tx>
          <c:spPr>
            <a:solidFill>
              <a:schemeClr val="accent2">
                <a:lumMod val="8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'KPI2'!$U$5:$U$10</c:f>
              <c:numCache>
                <c:formatCode>General</c:formatCode>
                <c:ptCount val="5"/>
                <c:pt idx="0">
                  <c:v>4.3</c:v>
                </c:pt>
                <c:pt idx="1">
                  <c:v>6.2</c:v>
                </c:pt>
                <c:pt idx="2">
                  <c:v>7.2</c:v>
                </c:pt>
                <c:pt idx="3">
                  <c:v>4</c:v>
                </c:pt>
                <c:pt idx="4">
                  <c:v>8.6</c:v>
                </c:pt>
              </c:numCache>
            </c:numRef>
          </c:val>
          <c:extLst>
            <c:ext xmlns:c16="http://schemas.microsoft.com/office/drawing/2014/chart" uri="{C3380CC4-5D6E-409C-BE32-E72D297353CC}">
              <c16:uniqueId val="{00000013-2DB4-4C69-9E05-664D757EF52B}"/>
            </c:ext>
          </c:extLst>
        </c:ser>
        <c:dLbls>
          <c:showLegendKey val="0"/>
          <c:showVal val="0"/>
          <c:showCatName val="0"/>
          <c:showSerName val="0"/>
          <c:showPercent val="0"/>
          <c:showBubbleSize val="0"/>
        </c:dLbls>
        <c:gapWidth val="219"/>
        <c:axId val="2109561855"/>
        <c:axId val="2109546015"/>
      </c:barChart>
      <c:catAx>
        <c:axId val="210956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46015"/>
        <c:crosses val="autoZero"/>
        <c:auto val="1"/>
        <c:lblAlgn val="ctr"/>
        <c:lblOffset val="100"/>
        <c:noMultiLvlLbl val="0"/>
      </c:catAx>
      <c:valAx>
        <c:axId val="210954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6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Tools Popularity.xlsx]KPI3!PivotTable2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Users</a:t>
            </a:r>
            <a:r>
              <a:rPr lang="en-IN" baseline="0"/>
              <a:t> per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doughnutChart>
        <c:varyColors val="1"/>
        <c:ser>
          <c:idx val="0"/>
          <c:order val="0"/>
          <c:tx>
            <c:strRef>
              <c:f>'KPI3'!$B$3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D2A-4A01-87A3-C9A6C342B3E6}"/>
              </c:ext>
            </c:extLst>
          </c:dPt>
          <c:dPt>
            <c:idx val="1"/>
            <c:bubble3D val="0"/>
            <c:spPr>
              <a:solidFill>
                <a:schemeClr val="accent2"/>
              </a:solidFill>
              <a:ln>
                <a:noFill/>
              </a:ln>
              <a:effectLst/>
            </c:spPr>
            <c:extLst>
              <c:ext xmlns:c16="http://schemas.microsoft.com/office/drawing/2014/chart" uri="{C3380CC4-5D6E-409C-BE32-E72D297353CC}">
                <c16:uniqueId val="{00000003-AD2A-4A01-87A3-C9A6C342B3E6}"/>
              </c:ext>
            </c:extLst>
          </c:dPt>
          <c:dPt>
            <c:idx val="2"/>
            <c:bubble3D val="0"/>
            <c:spPr>
              <a:solidFill>
                <a:schemeClr val="accent3"/>
              </a:solidFill>
              <a:ln>
                <a:noFill/>
              </a:ln>
              <a:effectLst/>
            </c:spPr>
            <c:extLst>
              <c:ext xmlns:c16="http://schemas.microsoft.com/office/drawing/2014/chart" uri="{C3380CC4-5D6E-409C-BE32-E72D297353CC}">
                <c16:uniqueId val="{00000005-AD2A-4A01-87A3-C9A6C342B3E6}"/>
              </c:ext>
            </c:extLst>
          </c:dPt>
          <c:dPt>
            <c:idx val="3"/>
            <c:bubble3D val="0"/>
            <c:spPr>
              <a:solidFill>
                <a:schemeClr val="accent4"/>
              </a:solidFill>
              <a:ln>
                <a:noFill/>
              </a:ln>
              <a:effectLst/>
            </c:spPr>
            <c:extLst>
              <c:ext xmlns:c16="http://schemas.microsoft.com/office/drawing/2014/chart" uri="{C3380CC4-5D6E-409C-BE32-E72D297353CC}">
                <c16:uniqueId val="{00000007-AD2A-4A01-87A3-C9A6C342B3E6}"/>
              </c:ext>
            </c:extLst>
          </c:dPt>
          <c:dPt>
            <c:idx val="4"/>
            <c:bubble3D val="0"/>
            <c:spPr>
              <a:solidFill>
                <a:schemeClr val="accent5"/>
              </a:solidFill>
              <a:ln>
                <a:noFill/>
              </a:ln>
              <a:effectLst/>
            </c:spPr>
            <c:extLst>
              <c:ext xmlns:c16="http://schemas.microsoft.com/office/drawing/2014/chart" uri="{C3380CC4-5D6E-409C-BE32-E72D297353CC}">
                <c16:uniqueId val="{00000009-AD2A-4A01-87A3-C9A6C342B3E6}"/>
              </c:ext>
            </c:extLst>
          </c:dPt>
          <c:dPt>
            <c:idx val="5"/>
            <c:bubble3D val="0"/>
            <c:spPr>
              <a:solidFill>
                <a:schemeClr val="accent6"/>
              </a:solidFill>
              <a:ln>
                <a:noFill/>
              </a:ln>
              <a:effectLst/>
            </c:spPr>
            <c:extLst>
              <c:ext xmlns:c16="http://schemas.microsoft.com/office/drawing/2014/chart" uri="{C3380CC4-5D6E-409C-BE32-E72D297353CC}">
                <c16:uniqueId val="{0000000B-AD2A-4A01-87A3-C9A6C342B3E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D2A-4A01-87A3-C9A6C342B3E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D2A-4A01-87A3-C9A6C342B3E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D2A-4A01-87A3-C9A6C342B3E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D2A-4A01-87A3-C9A6C342B3E6}"/>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AD2A-4A01-87A3-C9A6C342B3E6}"/>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AD2A-4A01-87A3-C9A6C342B3E6}"/>
              </c:ext>
            </c:extLst>
          </c:dPt>
          <c:cat>
            <c:strRef>
              <c:f>'KPI3'!$A$4:$A$16</c:f>
              <c:strCache>
                <c:ptCount val="12"/>
                <c:pt idx="0">
                  <c:v>Audio AI</c:v>
                </c:pt>
                <c:pt idx="1">
                  <c:v>Chat Aggregator</c:v>
                </c:pt>
                <c:pt idx="2">
                  <c:v>Coding AI</c:v>
                </c:pt>
                <c:pt idx="3">
                  <c:v>Conversational AI</c:v>
                </c:pt>
                <c:pt idx="4">
                  <c:v>Design AI</c:v>
                </c:pt>
                <c:pt idx="5">
                  <c:v>Image Generation</c:v>
                </c:pt>
                <c:pt idx="6">
                  <c:v>Productivity AI</c:v>
                </c:pt>
                <c:pt idx="7">
                  <c:v>Search AI</c:v>
                </c:pt>
                <c:pt idx="8">
                  <c:v>Translation AI</c:v>
                </c:pt>
                <c:pt idx="9">
                  <c:v>Video AI</c:v>
                </c:pt>
                <c:pt idx="10">
                  <c:v>Voice AI</c:v>
                </c:pt>
                <c:pt idx="11">
                  <c:v>Writing AI</c:v>
                </c:pt>
              </c:strCache>
            </c:strRef>
          </c:cat>
          <c:val>
            <c:numRef>
              <c:f>'KPI3'!$B$4:$B$16</c:f>
              <c:numCache>
                <c:formatCode>General</c:formatCode>
                <c:ptCount val="12"/>
                <c:pt idx="0">
                  <c:v>140</c:v>
                </c:pt>
                <c:pt idx="1">
                  <c:v>1330</c:v>
                </c:pt>
                <c:pt idx="2">
                  <c:v>1340</c:v>
                </c:pt>
                <c:pt idx="3">
                  <c:v>2220</c:v>
                </c:pt>
                <c:pt idx="4">
                  <c:v>110</c:v>
                </c:pt>
                <c:pt idx="5">
                  <c:v>3460</c:v>
                </c:pt>
                <c:pt idx="6">
                  <c:v>840</c:v>
                </c:pt>
                <c:pt idx="7">
                  <c:v>380</c:v>
                </c:pt>
                <c:pt idx="8">
                  <c:v>1310</c:v>
                </c:pt>
                <c:pt idx="9">
                  <c:v>3920</c:v>
                </c:pt>
                <c:pt idx="10">
                  <c:v>790</c:v>
                </c:pt>
                <c:pt idx="11">
                  <c:v>2350</c:v>
                </c:pt>
              </c:numCache>
            </c:numRef>
          </c:val>
          <c:extLst>
            <c:ext xmlns:c16="http://schemas.microsoft.com/office/drawing/2014/chart" uri="{C3380CC4-5D6E-409C-BE32-E72D297353CC}">
              <c16:uniqueId val="{00000000-22B6-489F-A69B-1B9670A4B0A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Tools Popularity.xlsx]KPI4!PivotTable1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 Active Users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27777777777777779"/>
              <c:y val="-9.259259259259343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dLbl>
          <c:idx val="0"/>
          <c:showLegendKey val="0"/>
          <c:showVal val="0"/>
          <c:showCatName val="0"/>
          <c:showSerName val="0"/>
          <c:showPercent val="0"/>
          <c:showBubbleSize val="0"/>
          <c:extLst>
            <c:ext xmlns:c15="http://schemas.microsoft.com/office/drawing/2012/chart" uri="{CE6537A1-D6FC-4f65-9D91-7224C49458BB}"/>
          </c:extLst>
        </c:dLbl>
      </c:pivotFmt>
      <c:pivotFmt>
        <c:idx val="327"/>
        <c:dLbl>
          <c:idx val="0"/>
          <c:showLegendKey val="0"/>
          <c:showVal val="0"/>
          <c:showCatName val="0"/>
          <c:showSerName val="0"/>
          <c:showPercent val="0"/>
          <c:showBubbleSize val="0"/>
          <c:extLst>
            <c:ext xmlns:c15="http://schemas.microsoft.com/office/drawing/2012/chart" uri="{CE6537A1-D6FC-4f65-9D91-7224C49458BB}"/>
          </c:extLst>
        </c:dLbl>
      </c:pivotFmt>
      <c:pivotFmt>
        <c:idx val="328"/>
        <c:dLbl>
          <c:idx val="0"/>
          <c:showLegendKey val="0"/>
          <c:showVal val="0"/>
          <c:showCatName val="0"/>
          <c:showSerName val="0"/>
          <c:showPercent val="0"/>
          <c:showBubbleSize val="0"/>
          <c:extLst>
            <c:ext xmlns:c15="http://schemas.microsoft.com/office/drawing/2012/chart" uri="{CE6537A1-D6FC-4f65-9D91-7224C49458BB}"/>
          </c:extLst>
        </c:dLbl>
      </c:pivotFmt>
      <c:pivotFmt>
        <c:idx val="329"/>
        <c:dLbl>
          <c:idx val="0"/>
          <c:showLegendKey val="0"/>
          <c:showVal val="0"/>
          <c:showCatName val="0"/>
          <c:showSerName val="0"/>
          <c:showPercent val="0"/>
          <c:showBubbleSize val="0"/>
          <c:extLst>
            <c:ext xmlns:c15="http://schemas.microsoft.com/office/drawing/2012/chart" uri="{CE6537A1-D6FC-4f65-9D91-7224C49458BB}"/>
          </c:extLst>
        </c:dLbl>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dLbl>
          <c:idx val="0"/>
          <c:showLegendKey val="0"/>
          <c:showVal val="0"/>
          <c:showCatName val="0"/>
          <c:showSerName val="0"/>
          <c:showPercent val="0"/>
          <c:showBubbleSize val="0"/>
          <c:extLst>
            <c:ext xmlns:c15="http://schemas.microsoft.com/office/drawing/2012/chart" uri="{CE6537A1-D6FC-4f65-9D91-7224C49458BB}"/>
          </c:extLst>
        </c:dLbl>
      </c:pivotFmt>
      <c:pivotFmt>
        <c:idx val="332"/>
        <c:dLbl>
          <c:idx val="0"/>
          <c:showLegendKey val="0"/>
          <c:showVal val="0"/>
          <c:showCatName val="0"/>
          <c:showSerName val="0"/>
          <c:showPercent val="0"/>
          <c:showBubbleSize val="0"/>
          <c:extLst>
            <c:ext xmlns:c15="http://schemas.microsoft.com/office/drawing/2012/chart" uri="{CE6537A1-D6FC-4f65-9D91-7224C49458BB}"/>
          </c:extLst>
        </c:dLbl>
      </c:pivotFmt>
      <c:pivotFmt>
        <c:idx val="333"/>
        <c:dLbl>
          <c:idx val="0"/>
          <c:showLegendKey val="0"/>
          <c:showVal val="0"/>
          <c:showCatName val="0"/>
          <c:showSerName val="0"/>
          <c:showPercent val="0"/>
          <c:showBubbleSize val="0"/>
          <c:extLst>
            <c:ext xmlns:c15="http://schemas.microsoft.com/office/drawing/2012/chart" uri="{CE6537A1-D6FC-4f65-9D91-7224C49458BB}"/>
          </c:extLst>
        </c:dLbl>
      </c:pivotFmt>
      <c:pivotFmt>
        <c:idx val="334"/>
        <c:dLbl>
          <c:idx val="0"/>
          <c:showLegendKey val="0"/>
          <c:showVal val="0"/>
          <c:showCatName val="0"/>
          <c:showSerName val="0"/>
          <c:showPercent val="0"/>
          <c:showBubbleSize val="0"/>
          <c:extLst>
            <c:ext xmlns:c15="http://schemas.microsoft.com/office/drawing/2012/chart" uri="{CE6537A1-D6FC-4f65-9D91-7224C49458BB}"/>
          </c:extLst>
        </c:dLbl>
      </c:pivotFmt>
      <c:pivotFmt>
        <c:idx val="335"/>
        <c:dLbl>
          <c:idx val="0"/>
          <c:showLegendKey val="0"/>
          <c:showVal val="0"/>
          <c:showCatName val="0"/>
          <c:showSerName val="0"/>
          <c:showPercent val="0"/>
          <c:showBubbleSize val="0"/>
          <c:extLst>
            <c:ext xmlns:c15="http://schemas.microsoft.com/office/drawing/2012/chart" uri="{CE6537A1-D6FC-4f65-9D91-7224C49458BB}"/>
          </c:extLst>
        </c:dLbl>
      </c:pivotFmt>
      <c:pivotFmt>
        <c:idx val="336"/>
        <c:dLbl>
          <c:idx val="0"/>
          <c:showLegendKey val="0"/>
          <c:showVal val="0"/>
          <c:showCatName val="0"/>
          <c:showSerName val="0"/>
          <c:showPercent val="0"/>
          <c:showBubbleSize val="0"/>
          <c:extLst>
            <c:ext xmlns:c15="http://schemas.microsoft.com/office/drawing/2012/chart" uri="{CE6537A1-D6FC-4f65-9D91-7224C49458BB}"/>
          </c:extLst>
        </c:dLbl>
      </c:pivotFmt>
      <c:pivotFmt>
        <c:idx val="337"/>
        <c:dLbl>
          <c:idx val="0"/>
          <c:showLegendKey val="0"/>
          <c:showVal val="0"/>
          <c:showCatName val="0"/>
          <c:showSerName val="0"/>
          <c:showPercent val="0"/>
          <c:showBubbleSize val="0"/>
          <c:extLst>
            <c:ext xmlns:c15="http://schemas.microsoft.com/office/drawing/2012/chart" uri="{CE6537A1-D6FC-4f65-9D91-7224C49458BB}"/>
          </c:extLst>
        </c:dLbl>
      </c:pivotFmt>
      <c:pivotFmt>
        <c:idx val="338"/>
        <c:dLbl>
          <c:idx val="0"/>
          <c:showLegendKey val="0"/>
          <c:showVal val="0"/>
          <c:showCatName val="0"/>
          <c:showSerName val="0"/>
          <c:showPercent val="0"/>
          <c:showBubbleSize val="0"/>
          <c:extLst>
            <c:ext xmlns:c15="http://schemas.microsoft.com/office/drawing/2012/chart" uri="{CE6537A1-D6FC-4f65-9D91-7224C49458BB}"/>
          </c:extLst>
        </c:dLbl>
      </c:pivotFmt>
      <c:pivotFmt>
        <c:idx val="339"/>
        <c:dLbl>
          <c:idx val="0"/>
          <c:showLegendKey val="0"/>
          <c:showVal val="0"/>
          <c:showCatName val="0"/>
          <c:showSerName val="0"/>
          <c:showPercent val="0"/>
          <c:showBubbleSize val="0"/>
          <c:extLst>
            <c:ext xmlns:c15="http://schemas.microsoft.com/office/drawing/2012/chart" uri="{CE6537A1-D6FC-4f65-9D91-7224C49458BB}"/>
          </c:extLst>
        </c:dLbl>
      </c:pivotFmt>
      <c:pivotFmt>
        <c:idx val="340"/>
        <c:dLbl>
          <c:idx val="0"/>
          <c:showLegendKey val="0"/>
          <c:showVal val="0"/>
          <c:showCatName val="0"/>
          <c:showSerName val="0"/>
          <c:showPercent val="0"/>
          <c:showBubbleSize val="0"/>
          <c:extLst>
            <c:ext xmlns:c15="http://schemas.microsoft.com/office/drawing/2012/chart" uri="{CE6537A1-D6FC-4f65-9D91-7224C49458BB}"/>
          </c:extLst>
        </c:dLbl>
      </c:pivotFmt>
      <c:pivotFmt>
        <c:idx val="341"/>
        <c:dLbl>
          <c:idx val="0"/>
          <c:showLegendKey val="0"/>
          <c:showVal val="0"/>
          <c:showCatName val="0"/>
          <c:showSerName val="0"/>
          <c:showPercent val="0"/>
          <c:showBubbleSize val="0"/>
          <c:extLst>
            <c:ext xmlns:c15="http://schemas.microsoft.com/office/drawing/2012/chart" uri="{CE6537A1-D6FC-4f65-9D91-7224C49458BB}"/>
          </c:extLst>
        </c:dLbl>
      </c:pivotFmt>
      <c:pivotFmt>
        <c:idx val="342"/>
        <c:dLbl>
          <c:idx val="0"/>
          <c:showLegendKey val="0"/>
          <c:showVal val="0"/>
          <c:showCatName val="0"/>
          <c:showSerName val="0"/>
          <c:showPercent val="0"/>
          <c:showBubbleSize val="0"/>
          <c:extLst>
            <c:ext xmlns:c15="http://schemas.microsoft.com/office/drawing/2012/chart" uri="{CE6537A1-D6FC-4f65-9D91-7224C49458BB}"/>
          </c:extLst>
        </c:dLbl>
      </c:pivotFmt>
      <c:pivotFmt>
        <c:idx val="343"/>
        <c:dLbl>
          <c:idx val="0"/>
          <c:showLegendKey val="0"/>
          <c:showVal val="0"/>
          <c:showCatName val="0"/>
          <c:showSerName val="0"/>
          <c:showPercent val="0"/>
          <c:showBubbleSize val="0"/>
          <c:extLst>
            <c:ext xmlns:c15="http://schemas.microsoft.com/office/drawing/2012/chart" uri="{CE6537A1-D6FC-4f65-9D91-7224C49458BB}"/>
          </c:extLst>
        </c:dLbl>
      </c:pivotFmt>
      <c:pivotFmt>
        <c:idx val="344"/>
        <c:dLbl>
          <c:idx val="0"/>
          <c:showLegendKey val="0"/>
          <c:showVal val="0"/>
          <c:showCatName val="0"/>
          <c:showSerName val="0"/>
          <c:showPercent val="0"/>
          <c:showBubbleSize val="0"/>
          <c:extLst>
            <c:ext xmlns:c15="http://schemas.microsoft.com/office/drawing/2012/chart" uri="{CE6537A1-D6FC-4f65-9D91-7224C49458BB}"/>
          </c:extLst>
        </c:dLbl>
      </c:pivotFmt>
      <c:pivotFmt>
        <c:idx val="345"/>
        <c:dLbl>
          <c:idx val="0"/>
          <c:showLegendKey val="0"/>
          <c:showVal val="0"/>
          <c:showCatName val="0"/>
          <c:showSerName val="0"/>
          <c:showPercent val="0"/>
          <c:showBubbleSize val="0"/>
          <c:extLst>
            <c:ext xmlns:c15="http://schemas.microsoft.com/office/drawing/2012/chart" uri="{CE6537A1-D6FC-4f65-9D91-7224C49458BB}"/>
          </c:extLst>
        </c:dLbl>
      </c:pivotFmt>
      <c:pivotFmt>
        <c:idx val="346"/>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'KPI4'!$B$3:$B$5</c:f>
              <c:strCache>
                <c:ptCount val="1"/>
                <c:pt idx="0">
                  <c:v>Jan - Sum of Social Mentions</c:v>
                </c:pt>
              </c:strCache>
            </c:strRef>
          </c:tx>
          <c:spPr>
            <a:solidFill>
              <a:schemeClr val="accent1"/>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'KPI4'!$B$6:$B$26</c:f>
              <c:numCache>
                <c:formatCode>General</c:formatCode>
                <c:ptCount val="20"/>
                <c:pt idx="0">
                  <c:v>355636</c:v>
                </c:pt>
                <c:pt idx="1">
                  <c:v>320110</c:v>
                </c:pt>
                <c:pt idx="2">
                  <c:v>374802</c:v>
                </c:pt>
                <c:pt idx="3">
                  <c:v>889257</c:v>
                </c:pt>
                <c:pt idx="4">
                  <c:v>874314</c:v>
                </c:pt>
                <c:pt idx="5">
                  <c:v>749413</c:v>
                </c:pt>
                <c:pt idx="6">
                  <c:v>547001</c:v>
                </c:pt>
                <c:pt idx="7">
                  <c:v>540288</c:v>
                </c:pt>
                <c:pt idx="8">
                  <c:v>688397</c:v>
                </c:pt>
                <c:pt idx="9">
                  <c:v>526829</c:v>
                </c:pt>
                <c:pt idx="10">
                  <c:v>445457</c:v>
                </c:pt>
                <c:pt idx="11">
                  <c:v>793349</c:v>
                </c:pt>
                <c:pt idx="12">
                  <c:v>212074</c:v>
                </c:pt>
                <c:pt idx="13">
                  <c:v>416041</c:v>
                </c:pt>
                <c:pt idx="14">
                  <c:v>831852</c:v>
                </c:pt>
                <c:pt idx="15">
                  <c:v>195179</c:v>
                </c:pt>
                <c:pt idx="16">
                  <c:v>538254</c:v>
                </c:pt>
                <c:pt idx="17">
                  <c:v>887396</c:v>
                </c:pt>
                <c:pt idx="18">
                  <c:v>780736</c:v>
                </c:pt>
                <c:pt idx="19">
                  <c:v>767798</c:v>
                </c:pt>
              </c:numCache>
            </c:numRef>
          </c:val>
          <c:extLst>
            <c:ext xmlns:c16="http://schemas.microsoft.com/office/drawing/2014/chart" uri="{C3380CC4-5D6E-409C-BE32-E72D297353CC}">
              <c16:uniqueId val="{00000000-4BF4-4D5E-BD6E-D982C6EBCC29}"/>
            </c:ext>
          </c:extLst>
        </c:ser>
        <c:ser>
          <c:idx val="1"/>
          <c:order val="1"/>
          <c:tx>
            <c:strRef>
              <c:f>'KPI4'!$C$3:$C$5</c:f>
              <c:strCache>
                <c:ptCount val="1"/>
                <c:pt idx="0">
                  <c:v>Jan - Sum of Website Visits (Millions)</c:v>
                </c:pt>
              </c:strCache>
            </c:strRef>
          </c:tx>
          <c:spPr>
            <a:solidFill>
              <a:schemeClr val="accent2"/>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'KPI4'!$C$6:$C$26</c:f>
              <c:numCache>
                <c:formatCode>General</c:formatCode>
                <c:ptCount val="20"/>
                <c:pt idx="0">
                  <c:v>149</c:v>
                </c:pt>
                <c:pt idx="1">
                  <c:v>33</c:v>
                </c:pt>
                <c:pt idx="2">
                  <c:v>155</c:v>
                </c:pt>
                <c:pt idx="3">
                  <c:v>237</c:v>
                </c:pt>
                <c:pt idx="4">
                  <c:v>34</c:v>
                </c:pt>
                <c:pt idx="5">
                  <c:v>136</c:v>
                </c:pt>
                <c:pt idx="6">
                  <c:v>153</c:v>
                </c:pt>
                <c:pt idx="7">
                  <c:v>51</c:v>
                </c:pt>
                <c:pt idx="8">
                  <c:v>135</c:v>
                </c:pt>
                <c:pt idx="9">
                  <c:v>175</c:v>
                </c:pt>
                <c:pt idx="10">
                  <c:v>66</c:v>
                </c:pt>
                <c:pt idx="11">
                  <c:v>102</c:v>
                </c:pt>
                <c:pt idx="12">
                  <c:v>66</c:v>
                </c:pt>
                <c:pt idx="13">
                  <c:v>195</c:v>
                </c:pt>
                <c:pt idx="14">
                  <c:v>156</c:v>
                </c:pt>
                <c:pt idx="15">
                  <c:v>114</c:v>
                </c:pt>
                <c:pt idx="16">
                  <c:v>168</c:v>
                </c:pt>
                <c:pt idx="17">
                  <c:v>165</c:v>
                </c:pt>
                <c:pt idx="18">
                  <c:v>129</c:v>
                </c:pt>
                <c:pt idx="19">
                  <c:v>74</c:v>
                </c:pt>
              </c:numCache>
            </c:numRef>
          </c:val>
          <c:extLst>
            <c:ext xmlns:c16="http://schemas.microsoft.com/office/drawing/2014/chart" uri="{C3380CC4-5D6E-409C-BE32-E72D297353CC}">
              <c16:uniqueId val="{00000000-055D-4C42-8A6F-40E4888607F4}"/>
            </c:ext>
          </c:extLst>
        </c:ser>
        <c:ser>
          <c:idx val="2"/>
          <c:order val="2"/>
          <c:tx>
            <c:strRef>
              <c:f>'KPI4'!$D$3:$D$5</c:f>
              <c:strCache>
                <c:ptCount val="1"/>
                <c:pt idx="0">
                  <c:v>Feb - Sum of Social Mentions</c:v>
                </c:pt>
              </c:strCache>
            </c:strRef>
          </c:tx>
          <c:spPr>
            <a:solidFill>
              <a:schemeClr val="accent3"/>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'KPI4'!$D$6:$D$26</c:f>
              <c:numCache>
                <c:formatCode>General</c:formatCode>
                <c:ptCount val="20"/>
                <c:pt idx="0">
                  <c:v>596750</c:v>
                </c:pt>
                <c:pt idx="1">
                  <c:v>832639</c:v>
                </c:pt>
                <c:pt idx="2">
                  <c:v>787041</c:v>
                </c:pt>
                <c:pt idx="3">
                  <c:v>388840</c:v>
                </c:pt>
                <c:pt idx="4">
                  <c:v>411124</c:v>
                </c:pt>
                <c:pt idx="5">
                  <c:v>537939</c:v>
                </c:pt>
                <c:pt idx="6">
                  <c:v>538538</c:v>
                </c:pt>
                <c:pt idx="7">
                  <c:v>362106</c:v>
                </c:pt>
                <c:pt idx="8">
                  <c:v>491344</c:v>
                </c:pt>
                <c:pt idx="9">
                  <c:v>289554</c:v>
                </c:pt>
                <c:pt idx="10">
                  <c:v>602110</c:v>
                </c:pt>
                <c:pt idx="11">
                  <c:v>504803</c:v>
                </c:pt>
                <c:pt idx="12">
                  <c:v>425731</c:v>
                </c:pt>
                <c:pt idx="13">
                  <c:v>863853</c:v>
                </c:pt>
                <c:pt idx="14">
                  <c:v>483220</c:v>
                </c:pt>
                <c:pt idx="15">
                  <c:v>752051</c:v>
                </c:pt>
                <c:pt idx="16">
                  <c:v>361786</c:v>
                </c:pt>
                <c:pt idx="17">
                  <c:v>150734</c:v>
                </c:pt>
                <c:pt idx="18">
                  <c:v>611560</c:v>
                </c:pt>
                <c:pt idx="19">
                  <c:v>335133</c:v>
                </c:pt>
              </c:numCache>
            </c:numRef>
          </c:val>
          <c:extLst>
            <c:ext xmlns:c16="http://schemas.microsoft.com/office/drawing/2014/chart" uri="{C3380CC4-5D6E-409C-BE32-E72D297353CC}">
              <c16:uniqueId val="{00000000-1530-43B7-BB50-DCA9864D9D81}"/>
            </c:ext>
          </c:extLst>
        </c:ser>
        <c:ser>
          <c:idx val="3"/>
          <c:order val="3"/>
          <c:tx>
            <c:strRef>
              <c:f>'KPI4'!$E$3:$E$5</c:f>
              <c:strCache>
                <c:ptCount val="1"/>
                <c:pt idx="0">
                  <c:v>Feb - Sum of Website Visits (Millions)</c:v>
                </c:pt>
              </c:strCache>
            </c:strRef>
          </c:tx>
          <c:spPr>
            <a:solidFill>
              <a:schemeClr val="accent4"/>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'KPI4'!$E$6:$E$26</c:f>
              <c:numCache>
                <c:formatCode>General</c:formatCode>
                <c:ptCount val="20"/>
                <c:pt idx="0">
                  <c:v>129</c:v>
                </c:pt>
                <c:pt idx="1">
                  <c:v>68</c:v>
                </c:pt>
                <c:pt idx="2">
                  <c:v>101</c:v>
                </c:pt>
                <c:pt idx="3">
                  <c:v>112</c:v>
                </c:pt>
                <c:pt idx="4">
                  <c:v>119</c:v>
                </c:pt>
                <c:pt idx="5">
                  <c:v>246</c:v>
                </c:pt>
                <c:pt idx="6">
                  <c:v>208</c:v>
                </c:pt>
                <c:pt idx="7">
                  <c:v>72</c:v>
                </c:pt>
                <c:pt idx="8">
                  <c:v>59</c:v>
                </c:pt>
                <c:pt idx="9">
                  <c:v>187</c:v>
                </c:pt>
                <c:pt idx="10">
                  <c:v>116</c:v>
                </c:pt>
                <c:pt idx="11">
                  <c:v>239</c:v>
                </c:pt>
                <c:pt idx="12">
                  <c:v>228</c:v>
                </c:pt>
                <c:pt idx="13">
                  <c:v>228</c:v>
                </c:pt>
                <c:pt idx="14">
                  <c:v>213</c:v>
                </c:pt>
                <c:pt idx="15">
                  <c:v>170</c:v>
                </c:pt>
                <c:pt idx="16">
                  <c:v>89</c:v>
                </c:pt>
                <c:pt idx="17">
                  <c:v>241</c:v>
                </c:pt>
                <c:pt idx="18">
                  <c:v>147</c:v>
                </c:pt>
                <c:pt idx="19">
                  <c:v>22</c:v>
                </c:pt>
              </c:numCache>
            </c:numRef>
          </c:val>
          <c:extLst>
            <c:ext xmlns:c16="http://schemas.microsoft.com/office/drawing/2014/chart" uri="{C3380CC4-5D6E-409C-BE32-E72D297353CC}">
              <c16:uniqueId val="{00000001-1530-43B7-BB50-DCA9864D9D81}"/>
            </c:ext>
          </c:extLst>
        </c:ser>
        <c:ser>
          <c:idx val="4"/>
          <c:order val="4"/>
          <c:tx>
            <c:strRef>
              <c:f>'KPI4'!$F$3:$F$5</c:f>
              <c:strCache>
                <c:ptCount val="1"/>
                <c:pt idx="0">
                  <c:v>Mar - Sum of Social Mentions</c:v>
                </c:pt>
              </c:strCache>
            </c:strRef>
          </c:tx>
          <c:spPr>
            <a:solidFill>
              <a:schemeClr val="accent5"/>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'KPI4'!$F$6:$F$26</c:f>
              <c:numCache>
                <c:formatCode>General</c:formatCode>
                <c:ptCount val="20"/>
                <c:pt idx="0">
                  <c:v>617387</c:v>
                </c:pt>
                <c:pt idx="1">
                  <c:v>634860</c:v>
                </c:pt>
                <c:pt idx="2">
                  <c:v>783196</c:v>
                </c:pt>
                <c:pt idx="3">
                  <c:v>592209</c:v>
                </c:pt>
                <c:pt idx="4">
                  <c:v>235358</c:v>
                </c:pt>
                <c:pt idx="5">
                  <c:v>740081</c:v>
                </c:pt>
                <c:pt idx="6">
                  <c:v>476468</c:v>
                </c:pt>
                <c:pt idx="7">
                  <c:v>125933</c:v>
                </c:pt>
                <c:pt idx="8">
                  <c:v>501017</c:v>
                </c:pt>
                <c:pt idx="9">
                  <c:v>289873</c:v>
                </c:pt>
                <c:pt idx="10">
                  <c:v>181497</c:v>
                </c:pt>
                <c:pt idx="11">
                  <c:v>475967</c:v>
                </c:pt>
                <c:pt idx="12">
                  <c:v>612490</c:v>
                </c:pt>
                <c:pt idx="13">
                  <c:v>305169</c:v>
                </c:pt>
                <c:pt idx="14">
                  <c:v>155358</c:v>
                </c:pt>
                <c:pt idx="15">
                  <c:v>726748</c:v>
                </c:pt>
                <c:pt idx="16">
                  <c:v>514043</c:v>
                </c:pt>
                <c:pt idx="17">
                  <c:v>138558</c:v>
                </c:pt>
                <c:pt idx="18">
                  <c:v>229552</c:v>
                </c:pt>
                <c:pt idx="19">
                  <c:v>275329</c:v>
                </c:pt>
              </c:numCache>
            </c:numRef>
          </c:val>
          <c:extLst>
            <c:ext xmlns:c16="http://schemas.microsoft.com/office/drawing/2014/chart" uri="{C3380CC4-5D6E-409C-BE32-E72D297353CC}">
              <c16:uniqueId val="{00000002-1530-43B7-BB50-DCA9864D9D81}"/>
            </c:ext>
          </c:extLst>
        </c:ser>
        <c:ser>
          <c:idx val="5"/>
          <c:order val="5"/>
          <c:tx>
            <c:strRef>
              <c:f>'KPI4'!$G$3:$G$5</c:f>
              <c:strCache>
                <c:ptCount val="1"/>
                <c:pt idx="0">
                  <c:v>Mar - Sum of Website Visits (Millions)</c:v>
                </c:pt>
              </c:strCache>
            </c:strRef>
          </c:tx>
          <c:spPr>
            <a:solidFill>
              <a:schemeClr val="accent6"/>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'KPI4'!$G$6:$G$26</c:f>
              <c:numCache>
                <c:formatCode>General</c:formatCode>
                <c:ptCount val="20"/>
                <c:pt idx="0">
                  <c:v>59</c:v>
                </c:pt>
                <c:pt idx="1">
                  <c:v>100</c:v>
                </c:pt>
                <c:pt idx="2">
                  <c:v>194</c:v>
                </c:pt>
                <c:pt idx="3">
                  <c:v>67</c:v>
                </c:pt>
                <c:pt idx="4">
                  <c:v>184</c:v>
                </c:pt>
                <c:pt idx="5">
                  <c:v>170</c:v>
                </c:pt>
                <c:pt idx="6">
                  <c:v>245</c:v>
                </c:pt>
                <c:pt idx="7">
                  <c:v>104</c:v>
                </c:pt>
                <c:pt idx="8">
                  <c:v>127</c:v>
                </c:pt>
                <c:pt idx="9">
                  <c:v>152</c:v>
                </c:pt>
                <c:pt idx="10">
                  <c:v>115</c:v>
                </c:pt>
                <c:pt idx="11">
                  <c:v>212</c:v>
                </c:pt>
                <c:pt idx="12">
                  <c:v>209</c:v>
                </c:pt>
                <c:pt idx="13">
                  <c:v>220</c:v>
                </c:pt>
                <c:pt idx="14">
                  <c:v>37</c:v>
                </c:pt>
                <c:pt idx="15">
                  <c:v>249</c:v>
                </c:pt>
                <c:pt idx="16">
                  <c:v>202</c:v>
                </c:pt>
                <c:pt idx="17">
                  <c:v>86</c:v>
                </c:pt>
                <c:pt idx="18">
                  <c:v>121</c:v>
                </c:pt>
                <c:pt idx="19">
                  <c:v>56</c:v>
                </c:pt>
              </c:numCache>
            </c:numRef>
          </c:val>
          <c:extLst>
            <c:ext xmlns:c16="http://schemas.microsoft.com/office/drawing/2014/chart" uri="{C3380CC4-5D6E-409C-BE32-E72D297353CC}">
              <c16:uniqueId val="{00000003-1530-43B7-BB50-DCA9864D9D81}"/>
            </c:ext>
          </c:extLst>
        </c:ser>
        <c:ser>
          <c:idx val="6"/>
          <c:order val="6"/>
          <c:tx>
            <c:strRef>
              <c:f>'KPI4'!$H$3:$H$5</c:f>
              <c:strCache>
                <c:ptCount val="1"/>
                <c:pt idx="0">
                  <c:v>Apr - Sum of Social Mentions</c:v>
                </c:pt>
              </c:strCache>
            </c:strRef>
          </c:tx>
          <c:spPr>
            <a:solidFill>
              <a:schemeClr val="accent1">
                <a:lumMod val="6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'KPI4'!$H$6:$H$26</c:f>
              <c:numCache>
                <c:formatCode>General</c:formatCode>
                <c:ptCount val="20"/>
                <c:pt idx="0">
                  <c:v>319802</c:v>
                </c:pt>
                <c:pt idx="1">
                  <c:v>319671</c:v>
                </c:pt>
                <c:pt idx="2">
                  <c:v>621672</c:v>
                </c:pt>
                <c:pt idx="3">
                  <c:v>549291</c:v>
                </c:pt>
                <c:pt idx="4">
                  <c:v>237095</c:v>
                </c:pt>
                <c:pt idx="5">
                  <c:v>347068</c:v>
                </c:pt>
                <c:pt idx="6">
                  <c:v>680651</c:v>
                </c:pt>
                <c:pt idx="7">
                  <c:v>618202</c:v>
                </c:pt>
                <c:pt idx="8">
                  <c:v>461469</c:v>
                </c:pt>
                <c:pt idx="9">
                  <c:v>443454</c:v>
                </c:pt>
                <c:pt idx="10">
                  <c:v>440810</c:v>
                </c:pt>
                <c:pt idx="11">
                  <c:v>376758</c:v>
                </c:pt>
                <c:pt idx="12">
                  <c:v>498353</c:v>
                </c:pt>
                <c:pt idx="13">
                  <c:v>181578</c:v>
                </c:pt>
                <c:pt idx="14">
                  <c:v>368455</c:v>
                </c:pt>
                <c:pt idx="15">
                  <c:v>854833</c:v>
                </c:pt>
                <c:pt idx="16">
                  <c:v>247594</c:v>
                </c:pt>
                <c:pt idx="17">
                  <c:v>502758</c:v>
                </c:pt>
                <c:pt idx="18">
                  <c:v>216426</c:v>
                </c:pt>
                <c:pt idx="19">
                  <c:v>877246</c:v>
                </c:pt>
              </c:numCache>
            </c:numRef>
          </c:val>
          <c:extLst>
            <c:ext xmlns:c16="http://schemas.microsoft.com/office/drawing/2014/chart" uri="{C3380CC4-5D6E-409C-BE32-E72D297353CC}">
              <c16:uniqueId val="{00000004-1530-43B7-BB50-DCA9864D9D81}"/>
            </c:ext>
          </c:extLst>
        </c:ser>
        <c:ser>
          <c:idx val="7"/>
          <c:order val="7"/>
          <c:tx>
            <c:strRef>
              <c:f>'KPI4'!$I$3:$I$5</c:f>
              <c:strCache>
                <c:ptCount val="1"/>
                <c:pt idx="0">
                  <c:v>Apr - Sum of Website Visits (Millions)</c:v>
                </c:pt>
              </c:strCache>
            </c:strRef>
          </c:tx>
          <c:spPr>
            <a:solidFill>
              <a:schemeClr val="accent2">
                <a:lumMod val="6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'KPI4'!$I$6:$I$26</c:f>
              <c:numCache>
                <c:formatCode>General</c:formatCode>
                <c:ptCount val="20"/>
                <c:pt idx="0">
                  <c:v>202</c:v>
                </c:pt>
                <c:pt idx="1">
                  <c:v>196</c:v>
                </c:pt>
                <c:pt idx="2">
                  <c:v>63</c:v>
                </c:pt>
                <c:pt idx="3">
                  <c:v>90</c:v>
                </c:pt>
                <c:pt idx="4">
                  <c:v>176</c:v>
                </c:pt>
                <c:pt idx="5">
                  <c:v>159</c:v>
                </c:pt>
                <c:pt idx="6">
                  <c:v>32</c:v>
                </c:pt>
                <c:pt idx="7">
                  <c:v>230</c:v>
                </c:pt>
                <c:pt idx="8">
                  <c:v>113</c:v>
                </c:pt>
                <c:pt idx="9">
                  <c:v>192</c:v>
                </c:pt>
                <c:pt idx="10">
                  <c:v>242</c:v>
                </c:pt>
                <c:pt idx="11">
                  <c:v>155</c:v>
                </c:pt>
                <c:pt idx="12">
                  <c:v>132</c:v>
                </c:pt>
                <c:pt idx="13">
                  <c:v>233</c:v>
                </c:pt>
                <c:pt idx="14">
                  <c:v>144</c:v>
                </c:pt>
                <c:pt idx="15">
                  <c:v>140</c:v>
                </c:pt>
                <c:pt idx="16">
                  <c:v>109</c:v>
                </c:pt>
                <c:pt idx="17">
                  <c:v>177</c:v>
                </c:pt>
                <c:pt idx="18">
                  <c:v>105</c:v>
                </c:pt>
                <c:pt idx="19">
                  <c:v>116</c:v>
                </c:pt>
              </c:numCache>
            </c:numRef>
          </c:val>
          <c:extLst>
            <c:ext xmlns:c16="http://schemas.microsoft.com/office/drawing/2014/chart" uri="{C3380CC4-5D6E-409C-BE32-E72D297353CC}">
              <c16:uniqueId val="{00000005-1530-43B7-BB50-DCA9864D9D81}"/>
            </c:ext>
          </c:extLst>
        </c:ser>
        <c:ser>
          <c:idx val="8"/>
          <c:order val="8"/>
          <c:tx>
            <c:strRef>
              <c:f>'KPI4'!$J$3:$J$5</c:f>
              <c:strCache>
                <c:ptCount val="1"/>
                <c:pt idx="0">
                  <c:v>May - Sum of Social Mentions</c:v>
                </c:pt>
              </c:strCache>
            </c:strRef>
          </c:tx>
          <c:spPr>
            <a:solidFill>
              <a:schemeClr val="accent3">
                <a:lumMod val="6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'KPI4'!$J$6:$J$26</c:f>
              <c:numCache>
                <c:formatCode>General</c:formatCode>
                <c:ptCount val="20"/>
                <c:pt idx="0">
                  <c:v>555620</c:v>
                </c:pt>
                <c:pt idx="1">
                  <c:v>503533</c:v>
                </c:pt>
                <c:pt idx="2">
                  <c:v>216285</c:v>
                </c:pt>
                <c:pt idx="3">
                  <c:v>711552</c:v>
                </c:pt>
                <c:pt idx="4">
                  <c:v>573908</c:v>
                </c:pt>
                <c:pt idx="5">
                  <c:v>565564</c:v>
                </c:pt>
                <c:pt idx="6">
                  <c:v>351329</c:v>
                </c:pt>
                <c:pt idx="7">
                  <c:v>439664</c:v>
                </c:pt>
                <c:pt idx="8">
                  <c:v>545114</c:v>
                </c:pt>
                <c:pt idx="9">
                  <c:v>615302</c:v>
                </c:pt>
                <c:pt idx="10">
                  <c:v>639674</c:v>
                </c:pt>
                <c:pt idx="11">
                  <c:v>616243</c:v>
                </c:pt>
                <c:pt idx="12">
                  <c:v>534972</c:v>
                </c:pt>
                <c:pt idx="13">
                  <c:v>428787</c:v>
                </c:pt>
                <c:pt idx="14">
                  <c:v>833677</c:v>
                </c:pt>
                <c:pt idx="15">
                  <c:v>596570</c:v>
                </c:pt>
                <c:pt idx="16">
                  <c:v>103978</c:v>
                </c:pt>
                <c:pt idx="17">
                  <c:v>314163</c:v>
                </c:pt>
                <c:pt idx="18">
                  <c:v>673407</c:v>
                </c:pt>
                <c:pt idx="19">
                  <c:v>348533</c:v>
                </c:pt>
              </c:numCache>
            </c:numRef>
          </c:val>
          <c:extLst>
            <c:ext xmlns:c16="http://schemas.microsoft.com/office/drawing/2014/chart" uri="{C3380CC4-5D6E-409C-BE32-E72D297353CC}">
              <c16:uniqueId val="{00000006-1530-43B7-BB50-DCA9864D9D81}"/>
            </c:ext>
          </c:extLst>
        </c:ser>
        <c:ser>
          <c:idx val="9"/>
          <c:order val="9"/>
          <c:tx>
            <c:strRef>
              <c:f>'KPI4'!$K$3:$K$5</c:f>
              <c:strCache>
                <c:ptCount val="1"/>
                <c:pt idx="0">
                  <c:v>May - Sum of Website Visits (Millions)</c:v>
                </c:pt>
              </c:strCache>
            </c:strRef>
          </c:tx>
          <c:spPr>
            <a:solidFill>
              <a:schemeClr val="accent4">
                <a:lumMod val="6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'KPI4'!$K$6:$K$26</c:f>
              <c:numCache>
                <c:formatCode>General</c:formatCode>
                <c:ptCount val="20"/>
                <c:pt idx="0">
                  <c:v>243</c:v>
                </c:pt>
                <c:pt idx="1">
                  <c:v>177</c:v>
                </c:pt>
                <c:pt idx="2">
                  <c:v>215</c:v>
                </c:pt>
                <c:pt idx="3">
                  <c:v>67</c:v>
                </c:pt>
                <c:pt idx="4">
                  <c:v>187</c:v>
                </c:pt>
                <c:pt idx="5">
                  <c:v>31</c:v>
                </c:pt>
                <c:pt idx="6">
                  <c:v>214</c:v>
                </c:pt>
                <c:pt idx="7">
                  <c:v>97</c:v>
                </c:pt>
                <c:pt idx="8">
                  <c:v>202</c:v>
                </c:pt>
                <c:pt idx="9">
                  <c:v>201</c:v>
                </c:pt>
                <c:pt idx="10">
                  <c:v>235</c:v>
                </c:pt>
                <c:pt idx="11">
                  <c:v>213</c:v>
                </c:pt>
                <c:pt idx="12">
                  <c:v>141</c:v>
                </c:pt>
                <c:pt idx="13">
                  <c:v>196</c:v>
                </c:pt>
                <c:pt idx="14">
                  <c:v>130</c:v>
                </c:pt>
                <c:pt idx="15">
                  <c:v>56</c:v>
                </c:pt>
                <c:pt idx="16">
                  <c:v>225</c:v>
                </c:pt>
                <c:pt idx="17">
                  <c:v>113</c:v>
                </c:pt>
                <c:pt idx="18">
                  <c:v>176</c:v>
                </c:pt>
                <c:pt idx="19">
                  <c:v>171</c:v>
                </c:pt>
              </c:numCache>
            </c:numRef>
          </c:val>
          <c:extLst>
            <c:ext xmlns:c16="http://schemas.microsoft.com/office/drawing/2014/chart" uri="{C3380CC4-5D6E-409C-BE32-E72D297353CC}">
              <c16:uniqueId val="{00000007-1530-43B7-BB50-DCA9864D9D81}"/>
            </c:ext>
          </c:extLst>
        </c:ser>
        <c:ser>
          <c:idx val="10"/>
          <c:order val="10"/>
          <c:tx>
            <c:strRef>
              <c:f>'KPI4'!$L$3:$L$5</c:f>
              <c:strCache>
                <c:ptCount val="1"/>
                <c:pt idx="0">
                  <c:v>Jun - Sum of Social Mentions</c:v>
                </c:pt>
              </c:strCache>
            </c:strRef>
          </c:tx>
          <c:spPr>
            <a:solidFill>
              <a:schemeClr val="accent5">
                <a:lumMod val="6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'KPI4'!$L$6:$L$26</c:f>
              <c:numCache>
                <c:formatCode>General</c:formatCode>
                <c:ptCount val="20"/>
                <c:pt idx="0">
                  <c:v>196458</c:v>
                </c:pt>
                <c:pt idx="1">
                  <c:v>608658</c:v>
                </c:pt>
                <c:pt idx="2">
                  <c:v>587294</c:v>
                </c:pt>
                <c:pt idx="3">
                  <c:v>897754</c:v>
                </c:pt>
                <c:pt idx="4">
                  <c:v>514941</c:v>
                </c:pt>
                <c:pt idx="5">
                  <c:v>744731</c:v>
                </c:pt>
                <c:pt idx="6">
                  <c:v>586756</c:v>
                </c:pt>
                <c:pt idx="7">
                  <c:v>184752</c:v>
                </c:pt>
                <c:pt idx="8">
                  <c:v>100172</c:v>
                </c:pt>
                <c:pt idx="9">
                  <c:v>803857</c:v>
                </c:pt>
                <c:pt idx="10">
                  <c:v>828483</c:v>
                </c:pt>
                <c:pt idx="11">
                  <c:v>634739</c:v>
                </c:pt>
                <c:pt idx="12">
                  <c:v>726629</c:v>
                </c:pt>
                <c:pt idx="13">
                  <c:v>675797</c:v>
                </c:pt>
                <c:pt idx="14">
                  <c:v>515946</c:v>
                </c:pt>
                <c:pt idx="15">
                  <c:v>415222</c:v>
                </c:pt>
                <c:pt idx="16">
                  <c:v>154583</c:v>
                </c:pt>
                <c:pt idx="17">
                  <c:v>509277</c:v>
                </c:pt>
                <c:pt idx="18">
                  <c:v>307479</c:v>
                </c:pt>
                <c:pt idx="19">
                  <c:v>323288</c:v>
                </c:pt>
              </c:numCache>
            </c:numRef>
          </c:val>
          <c:extLst>
            <c:ext xmlns:c16="http://schemas.microsoft.com/office/drawing/2014/chart" uri="{C3380CC4-5D6E-409C-BE32-E72D297353CC}">
              <c16:uniqueId val="{00000001-1963-401A-BFE6-8698D186F36B}"/>
            </c:ext>
          </c:extLst>
        </c:ser>
        <c:ser>
          <c:idx val="11"/>
          <c:order val="11"/>
          <c:tx>
            <c:strRef>
              <c:f>'KPI4'!$M$3:$M$5</c:f>
              <c:strCache>
                <c:ptCount val="1"/>
                <c:pt idx="0">
                  <c:v>Jun - Sum of Website Visits (Millions)</c:v>
                </c:pt>
              </c:strCache>
            </c:strRef>
          </c:tx>
          <c:spPr>
            <a:solidFill>
              <a:schemeClr val="accent6">
                <a:lumMod val="6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'KPI4'!$M$6:$M$26</c:f>
              <c:numCache>
                <c:formatCode>General</c:formatCode>
                <c:ptCount val="20"/>
                <c:pt idx="0">
                  <c:v>90</c:v>
                </c:pt>
                <c:pt idx="1">
                  <c:v>246</c:v>
                </c:pt>
                <c:pt idx="2">
                  <c:v>137</c:v>
                </c:pt>
                <c:pt idx="3">
                  <c:v>153</c:v>
                </c:pt>
                <c:pt idx="4">
                  <c:v>214</c:v>
                </c:pt>
                <c:pt idx="5">
                  <c:v>131</c:v>
                </c:pt>
                <c:pt idx="6">
                  <c:v>52</c:v>
                </c:pt>
                <c:pt idx="7">
                  <c:v>105</c:v>
                </c:pt>
                <c:pt idx="8">
                  <c:v>32</c:v>
                </c:pt>
                <c:pt idx="9">
                  <c:v>21</c:v>
                </c:pt>
                <c:pt idx="10">
                  <c:v>228</c:v>
                </c:pt>
                <c:pt idx="11">
                  <c:v>137</c:v>
                </c:pt>
                <c:pt idx="12">
                  <c:v>115</c:v>
                </c:pt>
                <c:pt idx="13">
                  <c:v>56</c:v>
                </c:pt>
                <c:pt idx="14">
                  <c:v>51</c:v>
                </c:pt>
                <c:pt idx="15">
                  <c:v>39</c:v>
                </c:pt>
                <c:pt idx="16">
                  <c:v>197</c:v>
                </c:pt>
                <c:pt idx="17">
                  <c:v>128</c:v>
                </c:pt>
                <c:pt idx="18">
                  <c:v>208</c:v>
                </c:pt>
                <c:pt idx="19">
                  <c:v>53</c:v>
                </c:pt>
              </c:numCache>
            </c:numRef>
          </c:val>
          <c:extLst>
            <c:ext xmlns:c16="http://schemas.microsoft.com/office/drawing/2014/chart" uri="{C3380CC4-5D6E-409C-BE32-E72D297353CC}">
              <c16:uniqueId val="{00000002-1963-401A-BFE6-8698D186F36B}"/>
            </c:ext>
          </c:extLst>
        </c:ser>
        <c:ser>
          <c:idx val="12"/>
          <c:order val="12"/>
          <c:tx>
            <c:strRef>
              <c:f>'KPI4'!$N$3:$N$5</c:f>
              <c:strCache>
                <c:ptCount val="1"/>
                <c:pt idx="0">
                  <c:v>Jul - Sum of Social Mentions</c:v>
                </c:pt>
              </c:strCache>
            </c:strRef>
          </c:tx>
          <c:spPr>
            <a:solidFill>
              <a:schemeClr val="accent1">
                <a:lumMod val="80000"/>
                <a:lumOff val="2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'KPI4'!$N$6:$N$26</c:f>
              <c:numCache>
                <c:formatCode>General</c:formatCode>
                <c:ptCount val="20"/>
                <c:pt idx="0">
                  <c:v>880970</c:v>
                </c:pt>
                <c:pt idx="1">
                  <c:v>300114</c:v>
                </c:pt>
                <c:pt idx="2">
                  <c:v>503477</c:v>
                </c:pt>
                <c:pt idx="3">
                  <c:v>549188</c:v>
                </c:pt>
                <c:pt idx="4">
                  <c:v>163135</c:v>
                </c:pt>
                <c:pt idx="5">
                  <c:v>472761</c:v>
                </c:pt>
                <c:pt idx="6">
                  <c:v>698033</c:v>
                </c:pt>
                <c:pt idx="7">
                  <c:v>414492</c:v>
                </c:pt>
                <c:pt idx="8">
                  <c:v>719256</c:v>
                </c:pt>
                <c:pt idx="9">
                  <c:v>821784</c:v>
                </c:pt>
                <c:pt idx="10">
                  <c:v>492246</c:v>
                </c:pt>
                <c:pt idx="11">
                  <c:v>727574</c:v>
                </c:pt>
                <c:pt idx="12">
                  <c:v>471284</c:v>
                </c:pt>
                <c:pt idx="13">
                  <c:v>405412</c:v>
                </c:pt>
                <c:pt idx="14">
                  <c:v>112639</c:v>
                </c:pt>
                <c:pt idx="15">
                  <c:v>728929</c:v>
                </c:pt>
                <c:pt idx="16">
                  <c:v>355851</c:v>
                </c:pt>
                <c:pt idx="17">
                  <c:v>781275</c:v>
                </c:pt>
                <c:pt idx="18">
                  <c:v>653706</c:v>
                </c:pt>
                <c:pt idx="19">
                  <c:v>331126</c:v>
                </c:pt>
              </c:numCache>
            </c:numRef>
          </c:val>
          <c:extLst>
            <c:ext xmlns:c16="http://schemas.microsoft.com/office/drawing/2014/chart" uri="{C3380CC4-5D6E-409C-BE32-E72D297353CC}">
              <c16:uniqueId val="{00000003-1963-401A-BFE6-8698D186F36B}"/>
            </c:ext>
          </c:extLst>
        </c:ser>
        <c:ser>
          <c:idx val="13"/>
          <c:order val="13"/>
          <c:tx>
            <c:strRef>
              <c:f>'KPI4'!$O$3:$O$5</c:f>
              <c:strCache>
                <c:ptCount val="1"/>
                <c:pt idx="0">
                  <c:v>Jul - Sum of Website Visits (Millions)</c:v>
                </c:pt>
              </c:strCache>
            </c:strRef>
          </c:tx>
          <c:spPr>
            <a:solidFill>
              <a:schemeClr val="accent2">
                <a:lumMod val="80000"/>
                <a:lumOff val="2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'KPI4'!$O$6:$O$26</c:f>
              <c:numCache>
                <c:formatCode>General</c:formatCode>
                <c:ptCount val="20"/>
                <c:pt idx="0">
                  <c:v>71</c:v>
                </c:pt>
                <c:pt idx="1">
                  <c:v>222</c:v>
                </c:pt>
                <c:pt idx="2">
                  <c:v>48</c:v>
                </c:pt>
                <c:pt idx="3">
                  <c:v>103</c:v>
                </c:pt>
                <c:pt idx="4">
                  <c:v>142</c:v>
                </c:pt>
                <c:pt idx="5">
                  <c:v>224</c:v>
                </c:pt>
                <c:pt idx="6">
                  <c:v>137</c:v>
                </c:pt>
                <c:pt idx="7">
                  <c:v>31</c:v>
                </c:pt>
                <c:pt idx="8">
                  <c:v>68</c:v>
                </c:pt>
                <c:pt idx="9">
                  <c:v>110</c:v>
                </c:pt>
                <c:pt idx="10">
                  <c:v>58</c:v>
                </c:pt>
                <c:pt idx="11">
                  <c:v>127</c:v>
                </c:pt>
                <c:pt idx="12">
                  <c:v>130</c:v>
                </c:pt>
                <c:pt idx="13">
                  <c:v>89</c:v>
                </c:pt>
                <c:pt idx="14">
                  <c:v>156</c:v>
                </c:pt>
                <c:pt idx="15">
                  <c:v>173</c:v>
                </c:pt>
                <c:pt idx="16">
                  <c:v>94</c:v>
                </c:pt>
                <c:pt idx="17">
                  <c:v>228</c:v>
                </c:pt>
                <c:pt idx="18">
                  <c:v>130</c:v>
                </c:pt>
                <c:pt idx="19">
                  <c:v>46</c:v>
                </c:pt>
              </c:numCache>
            </c:numRef>
          </c:val>
          <c:extLst>
            <c:ext xmlns:c16="http://schemas.microsoft.com/office/drawing/2014/chart" uri="{C3380CC4-5D6E-409C-BE32-E72D297353CC}">
              <c16:uniqueId val="{00000004-1963-401A-BFE6-8698D186F36B}"/>
            </c:ext>
          </c:extLst>
        </c:ser>
        <c:ser>
          <c:idx val="14"/>
          <c:order val="14"/>
          <c:tx>
            <c:strRef>
              <c:f>'KPI4'!$P$3:$P$5</c:f>
              <c:strCache>
                <c:ptCount val="1"/>
                <c:pt idx="0">
                  <c:v>Aug - Sum of Social Mentions</c:v>
                </c:pt>
              </c:strCache>
            </c:strRef>
          </c:tx>
          <c:spPr>
            <a:solidFill>
              <a:schemeClr val="accent3">
                <a:lumMod val="80000"/>
                <a:lumOff val="2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'KPI4'!$P$6:$P$26</c:f>
              <c:numCache>
                <c:formatCode>General</c:formatCode>
                <c:ptCount val="20"/>
                <c:pt idx="0">
                  <c:v>601378</c:v>
                </c:pt>
                <c:pt idx="1">
                  <c:v>480829</c:v>
                </c:pt>
                <c:pt idx="2">
                  <c:v>654785</c:v>
                </c:pt>
                <c:pt idx="3">
                  <c:v>591460</c:v>
                </c:pt>
                <c:pt idx="4">
                  <c:v>414111</c:v>
                </c:pt>
                <c:pt idx="5">
                  <c:v>532005</c:v>
                </c:pt>
                <c:pt idx="6">
                  <c:v>336439</c:v>
                </c:pt>
                <c:pt idx="7">
                  <c:v>871914</c:v>
                </c:pt>
                <c:pt idx="8">
                  <c:v>441048</c:v>
                </c:pt>
                <c:pt idx="9">
                  <c:v>203077</c:v>
                </c:pt>
                <c:pt idx="10">
                  <c:v>389879</c:v>
                </c:pt>
                <c:pt idx="11">
                  <c:v>225446</c:v>
                </c:pt>
                <c:pt idx="12">
                  <c:v>120311</c:v>
                </c:pt>
                <c:pt idx="13">
                  <c:v>661372</c:v>
                </c:pt>
                <c:pt idx="14">
                  <c:v>450248</c:v>
                </c:pt>
                <c:pt idx="15">
                  <c:v>810854</c:v>
                </c:pt>
                <c:pt idx="16">
                  <c:v>683107</c:v>
                </c:pt>
                <c:pt idx="17">
                  <c:v>497959</c:v>
                </c:pt>
                <c:pt idx="18">
                  <c:v>186386</c:v>
                </c:pt>
                <c:pt idx="19">
                  <c:v>821321</c:v>
                </c:pt>
              </c:numCache>
            </c:numRef>
          </c:val>
          <c:extLst>
            <c:ext xmlns:c16="http://schemas.microsoft.com/office/drawing/2014/chart" uri="{C3380CC4-5D6E-409C-BE32-E72D297353CC}">
              <c16:uniqueId val="{00000005-1963-401A-BFE6-8698D186F36B}"/>
            </c:ext>
          </c:extLst>
        </c:ser>
        <c:ser>
          <c:idx val="15"/>
          <c:order val="15"/>
          <c:tx>
            <c:strRef>
              <c:f>'KPI4'!$Q$3:$Q$5</c:f>
              <c:strCache>
                <c:ptCount val="1"/>
                <c:pt idx="0">
                  <c:v>Aug - Sum of Website Visits (Millions)</c:v>
                </c:pt>
              </c:strCache>
            </c:strRef>
          </c:tx>
          <c:spPr>
            <a:solidFill>
              <a:schemeClr val="accent4">
                <a:lumMod val="80000"/>
                <a:lumOff val="2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'KPI4'!$Q$6:$Q$26</c:f>
              <c:numCache>
                <c:formatCode>General</c:formatCode>
                <c:ptCount val="20"/>
                <c:pt idx="0">
                  <c:v>99</c:v>
                </c:pt>
                <c:pt idx="1">
                  <c:v>219</c:v>
                </c:pt>
                <c:pt idx="2">
                  <c:v>22</c:v>
                </c:pt>
                <c:pt idx="3">
                  <c:v>225</c:v>
                </c:pt>
                <c:pt idx="4">
                  <c:v>182</c:v>
                </c:pt>
                <c:pt idx="5">
                  <c:v>102</c:v>
                </c:pt>
                <c:pt idx="6">
                  <c:v>180</c:v>
                </c:pt>
                <c:pt idx="7">
                  <c:v>78</c:v>
                </c:pt>
                <c:pt idx="8">
                  <c:v>120</c:v>
                </c:pt>
                <c:pt idx="9">
                  <c:v>28</c:v>
                </c:pt>
                <c:pt idx="10">
                  <c:v>232</c:v>
                </c:pt>
                <c:pt idx="11">
                  <c:v>146</c:v>
                </c:pt>
                <c:pt idx="12">
                  <c:v>152</c:v>
                </c:pt>
                <c:pt idx="13">
                  <c:v>77</c:v>
                </c:pt>
                <c:pt idx="14">
                  <c:v>147</c:v>
                </c:pt>
                <c:pt idx="15">
                  <c:v>138</c:v>
                </c:pt>
                <c:pt idx="16">
                  <c:v>21</c:v>
                </c:pt>
                <c:pt idx="17">
                  <c:v>30</c:v>
                </c:pt>
                <c:pt idx="18">
                  <c:v>132</c:v>
                </c:pt>
                <c:pt idx="19">
                  <c:v>185</c:v>
                </c:pt>
              </c:numCache>
            </c:numRef>
          </c:val>
          <c:extLst>
            <c:ext xmlns:c16="http://schemas.microsoft.com/office/drawing/2014/chart" uri="{C3380CC4-5D6E-409C-BE32-E72D297353CC}">
              <c16:uniqueId val="{00000006-1963-401A-BFE6-8698D186F36B}"/>
            </c:ext>
          </c:extLst>
        </c:ser>
        <c:ser>
          <c:idx val="16"/>
          <c:order val="16"/>
          <c:tx>
            <c:strRef>
              <c:f>'KPI4'!$R$3:$R$5</c:f>
              <c:strCache>
                <c:ptCount val="1"/>
                <c:pt idx="0">
                  <c:v>Sep - Sum of Social Mentions</c:v>
                </c:pt>
              </c:strCache>
            </c:strRef>
          </c:tx>
          <c:spPr>
            <a:solidFill>
              <a:schemeClr val="accent5">
                <a:lumMod val="80000"/>
                <a:lumOff val="2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'KPI4'!$R$6:$R$26</c:f>
              <c:numCache>
                <c:formatCode>General</c:formatCode>
                <c:ptCount val="20"/>
                <c:pt idx="0">
                  <c:v>125045</c:v>
                </c:pt>
                <c:pt idx="1">
                  <c:v>704220</c:v>
                </c:pt>
                <c:pt idx="2">
                  <c:v>608842</c:v>
                </c:pt>
                <c:pt idx="3">
                  <c:v>621379</c:v>
                </c:pt>
                <c:pt idx="4">
                  <c:v>869114</c:v>
                </c:pt>
                <c:pt idx="5">
                  <c:v>239806</c:v>
                </c:pt>
                <c:pt idx="6">
                  <c:v>457528</c:v>
                </c:pt>
                <c:pt idx="7">
                  <c:v>739266</c:v>
                </c:pt>
                <c:pt idx="8">
                  <c:v>426309</c:v>
                </c:pt>
                <c:pt idx="9">
                  <c:v>359466</c:v>
                </c:pt>
                <c:pt idx="10">
                  <c:v>246915</c:v>
                </c:pt>
                <c:pt idx="11">
                  <c:v>135813</c:v>
                </c:pt>
                <c:pt idx="12">
                  <c:v>455347</c:v>
                </c:pt>
                <c:pt idx="13">
                  <c:v>217337</c:v>
                </c:pt>
                <c:pt idx="14">
                  <c:v>673352</c:v>
                </c:pt>
                <c:pt idx="15">
                  <c:v>897676</c:v>
                </c:pt>
                <c:pt idx="16">
                  <c:v>591941</c:v>
                </c:pt>
                <c:pt idx="17">
                  <c:v>225937</c:v>
                </c:pt>
                <c:pt idx="18">
                  <c:v>860226</c:v>
                </c:pt>
                <c:pt idx="19">
                  <c:v>724696</c:v>
                </c:pt>
              </c:numCache>
            </c:numRef>
          </c:val>
          <c:extLst>
            <c:ext xmlns:c16="http://schemas.microsoft.com/office/drawing/2014/chart" uri="{C3380CC4-5D6E-409C-BE32-E72D297353CC}">
              <c16:uniqueId val="{00000007-1963-401A-BFE6-8698D186F36B}"/>
            </c:ext>
          </c:extLst>
        </c:ser>
        <c:ser>
          <c:idx val="17"/>
          <c:order val="17"/>
          <c:tx>
            <c:strRef>
              <c:f>'KPI4'!$S$3:$S$5</c:f>
              <c:strCache>
                <c:ptCount val="1"/>
                <c:pt idx="0">
                  <c:v>Sep - Sum of Website Visits (Millions)</c:v>
                </c:pt>
              </c:strCache>
            </c:strRef>
          </c:tx>
          <c:spPr>
            <a:solidFill>
              <a:schemeClr val="accent6">
                <a:lumMod val="80000"/>
                <a:lumOff val="2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'KPI4'!$S$6:$S$26</c:f>
              <c:numCache>
                <c:formatCode>General</c:formatCode>
                <c:ptCount val="20"/>
                <c:pt idx="0">
                  <c:v>239</c:v>
                </c:pt>
                <c:pt idx="1">
                  <c:v>75</c:v>
                </c:pt>
                <c:pt idx="2">
                  <c:v>201</c:v>
                </c:pt>
                <c:pt idx="3">
                  <c:v>175</c:v>
                </c:pt>
                <c:pt idx="4">
                  <c:v>185</c:v>
                </c:pt>
                <c:pt idx="5">
                  <c:v>64</c:v>
                </c:pt>
                <c:pt idx="6">
                  <c:v>72</c:v>
                </c:pt>
                <c:pt idx="7">
                  <c:v>46</c:v>
                </c:pt>
                <c:pt idx="8">
                  <c:v>117</c:v>
                </c:pt>
                <c:pt idx="9">
                  <c:v>120</c:v>
                </c:pt>
                <c:pt idx="10">
                  <c:v>111</c:v>
                </c:pt>
                <c:pt idx="11">
                  <c:v>135</c:v>
                </c:pt>
                <c:pt idx="12">
                  <c:v>20</c:v>
                </c:pt>
                <c:pt idx="13">
                  <c:v>46</c:v>
                </c:pt>
                <c:pt idx="14">
                  <c:v>176</c:v>
                </c:pt>
                <c:pt idx="15">
                  <c:v>81</c:v>
                </c:pt>
                <c:pt idx="16">
                  <c:v>250</c:v>
                </c:pt>
                <c:pt idx="17">
                  <c:v>60</c:v>
                </c:pt>
                <c:pt idx="18">
                  <c:v>78</c:v>
                </c:pt>
                <c:pt idx="19">
                  <c:v>214</c:v>
                </c:pt>
              </c:numCache>
            </c:numRef>
          </c:val>
          <c:extLst>
            <c:ext xmlns:c16="http://schemas.microsoft.com/office/drawing/2014/chart" uri="{C3380CC4-5D6E-409C-BE32-E72D297353CC}">
              <c16:uniqueId val="{00000008-1963-401A-BFE6-8698D186F36B}"/>
            </c:ext>
          </c:extLst>
        </c:ser>
        <c:ser>
          <c:idx val="18"/>
          <c:order val="18"/>
          <c:tx>
            <c:strRef>
              <c:f>'KPI4'!$T$3:$T$5</c:f>
              <c:strCache>
                <c:ptCount val="1"/>
                <c:pt idx="0">
                  <c:v>Oct - Sum of Social Mentions</c:v>
                </c:pt>
              </c:strCache>
            </c:strRef>
          </c:tx>
          <c:spPr>
            <a:solidFill>
              <a:schemeClr val="accent1">
                <a:lumMod val="8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'KPI4'!$T$6:$T$26</c:f>
              <c:numCache>
                <c:formatCode>General</c:formatCode>
                <c:ptCount val="20"/>
                <c:pt idx="0">
                  <c:v>182702</c:v>
                </c:pt>
                <c:pt idx="1">
                  <c:v>533704</c:v>
                </c:pt>
                <c:pt idx="2">
                  <c:v>318105</c:v>
                </c:pt>
                <c:pt idx="3">
                  <c:v>789974</c:v>
                </c:pt>
                <c:pt idx="4">
                  <c:v>108336</c:v>
                </c:pt>
                <c:pt idx="5">
                  <c:v>666978</c:v>
                </c:pt>
                <c:pt idx="6">
                  <c:v>884934</c:v>
                </c:pt>
                <c:pt idx="7">
                  <c:v>306007</c:v>
                </c:pt>
                <c:pt idx="8">
                  <c:v>409232</c:v>
                </c:pt>
                <c:pt idx="9">
                  <c:v>689317</c:v>
                </c:pt>
                <c:pt idx="10">
                  <c:v>499420</c:v>
                </c:pt>
                <c:pt idx="11">
                  <c:v>624308</c:v>
                </c:pt>
                <c:pt idx="12">
                  <c:v>343654</c:v>
                </c:pt>
                <c:pt idx="13">
                  <c:v>556715</c:v>
                </c:pt>
                <c:pt idx="14">
                  <c:v>129635</c:v>
                </c:pt>
                <c:pt idx="15">
                  <c:v>397707</c:v>
                </c:pt>
                <c:pt idx="16">
                  <c:v>379837</c:v>
                </c:pt>
                <c:pt idx="17">
                  <c:v>366802</c:v>
                </c:pt>
                <c:pt idx="18">
                  <c:v>139843</c:v>
                </c:pt>
                <c:pt idx="19">
                  <c:v>872918</c:v>
                </c:pt>
              </c:numCache>
            </c:numRef>
          </c:val>
          <c:extLst>
            <c:ext xmlns:c16="http://schemas.microsoft.com/office/drawing/2014/chart" uri="{C3380CC4-5D6E-409C-BE32-E72D297353CC}">
              <c16:uniqueId val="{00000009-1963-401A-BFE6-8698D186F36B}"/>
            </c:ext>
          </c:extLst>
        </c:ser>
        <c:ser>
          <c:idx val="19"/>
          <c:order val="19"/>
          <c:tx>
            <c:strRef>
              <c:f>'KPI4'!$U$3:$U$5</c:f>
              <c:strCache>
                <c:ptCount val="1"/>
                <c:pt idx="0">
                  <c:v>Oct - Sum of Website Visits (Millions)</c:v>
                </c:pt>
              </c:strCache>
            </c:strRef>
          </c:tx>
          <c:spPr>
            <a:solidFill>
              <a:schemeClr val="accent2">
                <a:lumMod val="8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'KPI4'!$U$6:$U$26</c:f>
              <c:numCache>
                <c:formatCode>General</c:formatCode>
                <c:ptCount val="20"/>
                <c:pt idx="0">
                  <c:v>68</c:v>
                </c:pt>
                <c:pt idx="1">
                  <c:v>78</c:v>
                </c:pt>
                <c:pt idx="2">
                  <c:v>144</c:v>
                </c:pt>
                <c:pt idx="3">
                  <c:v>219</c:v>
                </c:pt>
                <c:pt idx="4">
                  <c:v>184</c:v>
                </c:pt>
                <c:pt idx="5">
                  <c:v>189</c:v>
                </c:pt>
                <c:pt idx="6">
                  <c:v>94</c:v>
                </c:pt>
                <c:pt idx="7">
                  <c:v>198</c:v>
                </c:pt>
                <c:pt idx="8">
                  <c:v>151</c:v>
                </c:pt>
                <c:pt idx="9">
                  <c:v>65</c:v>
                </c:pt>
                <c:pt idx="10">
                  <c:v>118</c:v>
                </c:pt>
                <c:pt idx="11">
                  <c:v>35</c:v>
                </c:pt>
                <c:pt idx="12">
                  <c:v>141</c:v>
                </c:pt>
                <c:pt idx="13">
                  <c:v>29</c:v>
                </c:pt>
                <c:pt idx="14">
                  <c:v>221</c:v>
                </c:pt>
                <c:pt idx="15">
                  <c:v>113</c:v>
                </c:pt>
                <c:pt idx="16">
                  <c:v>137</c:v>
                </c:pt>
                <c:pt idx="17">
                  <c:v>105</c:v>
                </c:pt>
                <c:pt idx="18">
                  <c:v>84</c:v>
                </c:pt>
                <c:pt idx="19">
                  <c:v>215</c:v>
                </c:pt>
              </c:numCache>
            </c:numRef>
          </c:val>
          <c:extLst>
            <c:ext xmlns:c16="http://schemas.microsoft.com/office/drawing/2014/chart" uri="{C3380CC4-5D6E-409C-BE32-E72D297353CC}">
              <c16:uniqueId val="{0000000A-1963-401A-BFE6-8698D186F36B}"/>
            </c:ext>
          </c:extLst>
        </c:ser>
        <c:dLbls>
          <c:showLegendKey val="0"/>
          <c:showVal val="0"/>
          <c:showCatName val="0"/>
          <c:showSerName val="0"/>
          <c:showPercent val="0"/>
          <c:showBubbleSize val="0"/>
        </c:dLbls>
        <c:gapWidth val="60"/>
        <c:axId val="1233858879"/>
        <c:axId val="1233851199"/>
      </c:barChart>
      <c:catAx>
        <c:axId val="1233858879"/>
        <c:scaling>
          <c:orientation val="minMax"/>
        </c:scaling>
        <c:delete val="0"/>
        <c:axPos val="b"/>
        <c:numFmt formatCode="General" sourceLinked="1"/>
        <c:majorTickMark val="out"/>
        <c:minorTickMark val="none"/>
        <c:tickLblPos val="nextTo"/>
        <c:spPr>
          <a:noFill/>
          <a:ln w="50800" cap="rnd" cmpd="sng" algn="ctr">
            <a:solidFill>
              <a:schemeClr val="accent6">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851199"/>
        <c:crosses val="autoZero"/>
        <c:auto val="1"/>
        <c:lblAlgn val="ctr"/>
        <c:lblOffset val="100"/>
        <c:noMultiLvlLbl val="0"/>
      </c:catAx>
      <c:valAx>
        <c:axId val="1233851199"/>
        <c:scaling>
          <c:orientation val="minMax"/>
          <c:max val="25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85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 Tools Popularity.xlsx]KPI5!PivotTable4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Ratings of AI Tools</a:t>
            </a:r>
          </a:p>
        </c:rich>
      </c:tx>
      <c:layout>
        <c:manualLayout>
          <c:xMode val="edge"/>
          <c:yMode val="edge"/>
          <c:x val="0.33508990356715157"/>
          <c:y val="8.81140896865355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marker>
          <c:symbol val="none"/>
        </c:marker>
      </c:pivotFmt>
      <c:pivotFmt>
        <c:idx val="33"/>
        <c:marker>
          <c:symbol val="none"/>
        </c:marker>
      </c:pivotFmt>
    </c:pivotFmts>
    <c:plotArea>
      <c:layout/>
      <c:barChart>
        <c:barDir val="col"/>
        <c:grouping val="clustered"/>
        <c:varyColors val="0"/>
        <c:ser>
          <c:idx val="0"/>
          <c:order val="0"/>
          <c:tx>
            <c:strRef>
              <c:f>'KPI5'!$B$3</c:f>
              <c:strCache>
                <c:ptCount val="1"/>
                <c:pt idx="0">
                  <c:v>Total</c:v>
                </c:pt>
              </c:strCache>
            </c:strRef>
          </c:tx>
          <c:spPr>
            <a:solidFill>
              <a:schemeClr val="accent2"/>
            </a:solidFill>
            <a:ln w="19050">
              <a:solidFill>
                <a:schemeClr val="lt1"/>
              </a:solidFill>
            </a:ln>
            <a:effectLst/>
          </c:spPr>
          <c:invertIfNegative val="0"/>
          <c:cat>
            <c:strRef>
              <c:f>'KPI5'!$A$4:$A$24</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'KPI5'!$B$4:$B$24</c:f>
              <c:numCache>
                <c:formatCode>0.00</c:formatCode>
                <c:ptCount val="20"/>
                <c:pt idx="0">
                  <c:v>4.49</c:v>
                </c:pt>
                <c:pt idx="1">
                  <c:v>4.6399999999999997</c:v>
                </c:pt>
                <c:pt idx="2">
                  <c:v>4.3800000000000008</c:v>
                </c:pt>
                <c:pt idx="3">
                  <c:v>4.49</c:v>
                </c:pt>
                <c:pt idx="4">
                  <c:v>4.5599999999999996</c:v>
                </c:pt>
                <c:pt idx="5">
                  <c:v>4.42</c:v>
                </c:pt>
                <c:pt idx="6">
                  <c:v>4.5599999999999987</c:v>
                </c:pt>
                <c:pt idx="7">
                  <c:v>4.5999999999999996</c:v>
                </c:pt>
                <c:pt idx="8">
                  <c:v>4.6099999999999994</c:v>
                </c:pt>
                <c:pt idx="9">
                  <c:v>4.5500000000000007</c:v>
                </c:pt>
                <c:pt idx="10">
                  <c:v>4.6500000000000004</c:v>
                </c:pt>
                <c:pt idx="11">
                  <c:v>4.62</c:v>
                </c:pt>
                <c:pt idx="12">
                  <c:v>4.63</c:v>
                </c:pt>
                <c:pt idx="13">
                  <c:v>4.58</c:v>
                </c:pt>
                <c:pt idx="14">
                  <c:v>4.51</c:v>
                </c:pt>
                <c:pt idx="15">
                  <c:v>4.7</c:v>
                </c:pt>
                <c:pt idx="16">
                  <c:v>4.63</c:v>
                </c:pt>
                <c:pt idx="17">
                  <c:v>4.66</c:v>
                </c:pt>
                <c:pt idx="18">
                  <c:v>4.5199999999999996</c:v>
                </c:pt>
                <c:pt idx="19">
                  <c:v>4.5499999999999989</c:v>
                </c:pt>
              </c:numCache>
            </c:numRef>
          </c:val>
          <c:extLst>
            <c:ext xmlns:c16="http://schemas.microsoft.com/office/drawing/2014/chart" uri="{C3380CC4-5D6E-409C-BE32-E72D297353CC}">
              <c16:uniqueId val="{00000002-135A-4FD2-B39C-7A4566EB6767}"/>
            </c:ext>
          </c:extLst>
        </c:ser>
        <c:dLbls>
          <c:showLegendKey val="0"/>
          <c:showVal val="0"/>
          <c:showCatName val="0"/>
          <c:showSerName val="0"/>
          <c:showPercent val="0"/>
          <c:showBubbleSize val="0"/>
        </c:dLbls>
        <c:gapWidth val="150"/>
        <c:axId val="2109546495"/>
        <c:axId val="2109567615"/>
      </c:barChart>
      <c:valAx>
        <c:axId val="2109567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46495"/>
        <c:crosses val="autoZero"/>
        <c:crossBetween val="between"/>
      </c:valAx>
      <c:catAx>
        <c:axId val="210954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676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 Tools Popularity.xlsx]KPI6!PivotTable1</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hade val="76000"/>
            </a:schemeClr>
          </a:solidFill>
          <a:ln>
            <a:noFill/>
          </a:ln>
          <a:effectLst/>
        </c:spPr>
      </c:pivotFmt>
      <c:pivotFmt>
        <c:idx val="14"/>
        <c:spPr>
          <a:solidFill>
            <a:schemeClr val="accent2">
              <a:tint val="77000"/>
            </a:schemeClr>
          </a:solidFill>
          <a:ln>
            <a:noFill/>
          </a:ln>
          <a:effectLst/>
        </c:spPr>
      </c:pivotFmt>
      <c:pivotFmt>
        <c:idx val="15"/>
        <c:spPr>
          <a:solidFill>
            <a:schemeClr val="accent2">
              <a:shade val="76000"/>
            </a:schemeClr>
          </a:solidFill>
          <a:ln>
            <a:noFill/>
          </a:ln>
          <a:effectLst/>
        </c:spPr>
      </c:pivotFmt>
      <c:pivotFmt>
        <c:idx val="16"/>
        <c:spPr>
          <a:solidFill>
            <a:schemeClr val="accent2">
              <a:tint val="77000"/>
            </a:schemeClr>
          </a:solidFill>
          <a:ln>
            <a:noFill/>
          </a:ln>
          <a:effectLst/>
        </c:spPr>
      </c:pivotFmt>
      <c:pivotFmt>
        <c:idx val="17"/>
        <c:spPr>
          <a:solidFill>
            <a:schemeClr val="accent2">
              <a:shade val="76000"/>
            </a:schemeClr>
          </a:solidFill>
          <a:ln>
            <a:noFill/>
          </a:ln>
          <a:effectLst/>
        </c:spPr>
      </c:pivotFmt>
      <c:pivotFmt>
        <c:idx val="18"/>
        <c:spPr>
          <a:solidFill>
            <a:schemeClr val="accent2">
              <a:tint val="77000"/>
            </a:schemeClr>
          </a:solidFill>
          <a:ln>
            <a:noFill/>
          </a:ln>
          <a:effectLst/>
        </c:spPr>
      </c:pivotFmt>
      <c:pivotFmt>
        <c:idx val="19"/>
        <c:spPr>
          <a:solidFill>
            <a:schemeClr val="accent2">
              <a:shade val="76000"/>
            </a:schemeClr>
          </a:solidFill>
          <a:ln>
            <a:noFill/>
          </a:ln>
          <a:effectLst/>
        </c:spPr>
      </c:pivotFmt>
      <c:pivotFmt>
        <c:idx val="20"/>
        <c:spPr>
          <a:solidFill>
            <a:schemeClr val="accent2">
              <a:tint val="77000"/>
            </a:schemeClr>
          </a:solidFill>
          <a:ln>
            <a:noFill/>
          </a:ln>
          <a:effectLst/>
        </c:spPr>
      </c:pivotFmt>
      <c:pivotFmt>
        <c:idx val="21"/>
        <c:spPr>
          <a:solidFill>
            <a:schemeClr val="accent2">
              <a:shade val="76000"/>
            </a:schemeClr>
          </a:solidFill>
          <a:ln>
            <a:noFill/>
          </a:ln>
          <a:effectLst/>
        </c:spPr>
      </c:pivotFmt>
      <c:pivotFmt>
        <c:idx val="22"/>
        <c:spPr>
          <a:solidFill>
            <a:schemeClr val="accent2">
              <a:tint val="77000"/>
            </a:schemeClr>
          </a:solidFill>
          <a:ln>
            <a:noFill/>
          </a:ln>
          <a:effectLst/>
        </c:spPr>
      </c:pivotFmt>
      <c:pivotFmt>
        <c:idx val="23"/>
        <c:spPr>
          <a:solidFill>
            <a:schemeClr val="accent2">
              <a:shade val="76000"/>
            </a:schemeClr>
          </a:solidFill>
          <a:ln>
            <a:noFill/>
          </a:ln>
          <a:effectLst/>
        </c:spPr>
      </c:pivotFmt>
      <c:pivotFmt>
        <c:idx val="24"/>
        <c:spPr>
          <a:solidFill>
            <a:schemeClr val="accent2">
              <a:tint val="77000"/>
            </a:schemeClr>
          </a:solidFill>
          <a:ln>
            <a:noFill/>
          </a:ln>
          <a:effectLst/>
        </c:spPr>
      </c:pivotFmt>
      <c:pivotFmt>
        <c:idx val="25"/>
        <c:spPr>
          <a:solidFill>
            <a:schemeClr val="accent2">
              <a:shade val="76000"/>
            </a:schemeClr>
          </a:solidFill>
          <a:ln>
            <a:noFill/>
          </a:ln>
          <a:effectLst/>
        </c:spPr>
      </c:pivotFmt>
      <c:pivotFmt>
        <c:idx val="26"/>
        <c:spPr>
          <a:solidFill>
            <a:schemeClr val="accent2">
              <a:tint val="77000"/>
            </a:schemeClr>
          </a:solidFill>
          <a:ln>
            <a:noFill/>
          </a:ln>
          <a:effectLst/>
        </c:spPr>
      </c:pivotFmt>
      <c:pivotFmt>
        <c:idx val="27"/>
        <c:spPr>
          <a:solidFill>
            <a:schemeClr val="accent2">
              <a:shade val="76000"/>
            </a:schemeClr>
          </a:solidFill>
          <a:ln>
            <a:noFill/>
          </a:ln>
          <a:effectLst/>
        </c:spPr>
      </c:pivotFmt>
      <c:pivotFmt>
        <c:idx val="28"/>
        <c:spPr>
          <a:solidFill>
            <a:schemeClr val="accent2">
              <a:tint val="77000"/>
            </a:schemeClr>
          </a:solidFill>
          <a:ln>
            <a:noFill/>
          </a:ln>
          <a:effectLst/>
        </c:spPr>
      </c:pivotFmt>
      <c:pivotFmt>
        <c:idx val="29"/>
        <c:spPr>
          <a:solidFill>
            <a:schemeClr val="accent2">
              <a:shade val="76000"/>
            </a:schemeClr>
          </a:solidFill>
          <a:ln>
            <a:noFill/>
          </a:ln>
          <a:effectLst/>
        </c:spPr>
      </c:pivotFmt>
      <c:pivotFmt>
        <c:idx val="30"/>
        <c:spPr>
          <a:solidFill>
            <a:schemeClr val="accent2">
              <a:tint val="77000"/>
            </a:schemeClr>
          </a:solidFill>
          <a:ln>
            <a:noFill/>
          </a:ln>
          <a:effectLst/>
        </c:spPr>
      </c:pivotFmt>
      <c:pivotFmt>
        <c:idx val="31"/>
        <c:spPr>
          <a:solidFill>
            <a:schemeClr val="accent2">
              <a:shade val="76000"/>
            </a:schemeClr>
          </a:solidFill>
          <a:ln>
            <a:noFill/>
          </a:ln>
          <a:effectLst/>
        </c:spPr>
      </c:pivotFmt>
      <c:pivotFmt>
        <c:idx val="32"/>
        <c:spPr>
          <a:solidFill>
            <a:schemeClr val="accent2">
              <a:tint val="77000"/>
            </a:schemeClr>
          </a:solidFill>
          <a:ln>
            <a:noFill/>
          </a:ln>
          <a:effectLst/>
        </c:spPr>
      </c:pivotFmt>
      <c:pivotFmt>
        <c:idx val="33"/>
        <c:spPr>
          <a:solidFill>
            <a:schemeClr val="accent2">
              <a:shade val="76000"/>
            </a:schemeClr>
          </a:solidFill>
          <a:ln>
            <a:noFill/>
          </a:ln>
          <a:effectLst/>
        </c:spPr>
      </c:pivotFmt>
      <c:pivotFmt>
        <c:idx val="34"/>
        <c:spPr>
          <a:solidFill>
            <a:schemeClr val="accent2">
              <a:tint val="77000"/>
            </a:schemeClr>
          </a:solidFill>
          <a:ln>
            <a:noFill/>
          </a:ln>
          <a:effectLst/>
        </c:spPr>
      </c:pivotFmt>
      <c:pivotFmt>
        <c:idx val="35"/>
        <c:spPr>
          <a:solidFill>
            <a:schemeClr val="accent2">
              <a:shade val="76000"/>
            </a:schemeClr>
          </a:solidFill>
          <a:ln>
            <a:noFill/>
          </a:ln>
          <a:effectLst/>
        </c:spPr>
      </c:pivotFmt>
      <c:pivotFmt>
        <c:idx val="36"/>
        <c:spPr>
          <a:solidFill>
            <a:schemeClr val="accent2">
              <a:tint val="77000"/>
            </a:schemeClr>
          </a:solidFill>
          <a:ln>
            <a:noFill/>
          </a:ln>
          <a:effectLst/>
        </c:spPr>
      </c:pivotFmt>
    </c:pivotFmts>
    <c:plotArea>
      <c:layout/>
      <c:pieChart>
        <c:varyColors val="1"/>
        <c:ser>
          <c:idx val="0"/>
          <c:order val="0"/>
          <c:tx>
            <c:strRef>
              <c:f>'KPI6'!$B$3:$B$4</c:f>
              <c:strCache>
                <c:ptCount val="1"/>
                <c:pt idx="0">
                  <c:v>Jan</c:v>
                </c:pt>
              </c:strCache>
            </c:strRef>
          </c:tx>
          <c:dPt>
            <c:idx val="0"/>
            <c:bubble3D val="0"/>
            <c:spPr>
              <a:solidFill>
                <a:schemeClr val="accent2">
                  <a:tint val="77000"/>
                </a:schemeClr>
              </a:solidFill>
              <a:ln>
                <a:noFill/>
              </a:ln>
              <a:effectLst/>
            </c:spPr>
            <c:extLst>
              <c:ext xmlns:c16="http://schemas.microsoft.com/office/drawing/2014/chart" uri="{C3380CC4-5D6E-409C-BE32-E72D297353CC}">
                <c16:uniqueId val="{00000001-D5D4-450D-A5EB-F1376F5F5A56}"/>
              </c:ext>
            </c:extLst>
          </c:dPt>
          <c:dPt>
            <c:idx val="1"/>
            <c:bubble3D val="0"/>
            <c:spPr>
              <a:solidFill>
                <a:schemeClr val="accent2">
                  <a:tint val="30000"/>
                </a:schemeClr>
              </a:solidFill>
              <a:ln>
                <a:noFill/>
              </a:ln>
              <a:effectLst/>
            </c:spPr>
            <c:extLst>
              <c:ext xmlns:c16="http://schemas.microsoft.com/office/drawing/2014/chart" uri="{C3380CC4-5D6E-409C-BE32-E72D297353CC}">
                <c16:uniqueId val="{00000003-D5D4-450D-A5EB-F1376F5F5A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'KPI6'!$B$5:$B$6</c:f>
              <c:numCache>
                <c:formatCode>General</c:formatCode>
                <c:ptCount val="1"/>
                <c:pt idx="0">
                  <c:v>146.69999999999999</c:v>
                </c:pt>
              </c:numCache>
            </c:numRef>
          </c:val>
          <c:extLst>
            <c:ext xmlns:c16="http://schemas.microsoft.com/office/drawing/2014/chart" uri="{C3380CC4-5D6E-409C-BE32-E72D297353CC}">
              <c16:uniqueId val="{00000000-F26C-43DF-83A5-06232F3D57CD}"/>
            </c:ext>
          </c:extLst>
        </c:ser>
        <c:ser>
          <c:idx val="1"/>
          <c:order val="1"/>
          <c:tx>
            <c:strRef>
              <c:f>'KPI6'!$C$3:$C$4</c:f>
              <c:strCache>
                <c:ptCount val="1"/>
                <c:pt idx="0">
                  <c:v>Feb</c:v>
                </c:pt>
              </c:strCache>
            </c:strRef>
          </c:tx>
          <c:dPt>
            <c:idx val="0"/>
            <c:bubble3D val="0"/>
            <c:spPr>
              <a:solidFill>
                <a:schemeClr val="accent2">
                  <a:tint val="77000"/>
                </a:schemeClr>
              </a:solidFill>
              <a:ln>
                <a:noFill/>
              </a:ln>
              <a:effectLst/>
            </c:spPr>
            <c:extLst>
              <c:ext xmlns:c16="http://schemas.microsoft.com/office/drawing/2014/chart" uri="{C3380CC4-5D6E-409C-BE32-E72D297353CC}">
                <c16:uniqueId val="{00000005-90FD-490B-AA01-F4432C513C99}"/>
              </c:ext>
            </c:extLst>
          </c:dPt>
          <c:dPt>
            <c:idx val="1"/>
            <c:bubble3D val="0"/>
            <c:spPr>
              <a:solidFill>
                <a:schemeClr val="accent2">
                  <a:tint val="30000"/>
                </a:schemeClr>
              </a:solidFill>
              <a:ln>
                <a:noFill/>
              </a:ln>
              <a:effectLst/>
            </c:spPr>
            <c:extLst>
              <c:ext xmlns:c16="http://schemas.microsoft.com/office/drawing/2014/chart" uri="{C3380CC4-5D6E-409C-BE32-E72D297353CC}">
                <c16:uniqueId val="{00000007-90FD-490B-AA01-F4432C513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'KPI6'!$C$5:$C$6</c:f>
              <c:numCache>
                <c:formatCode>General</c:formatCode>
                <c:ptCount val="1"/>
                <c:pt idx="0">
                  <c:v>111.09999999999998</c:v>
                </c:pt>
              </c:numCache>
            </c:numRef>
          </c:val>
          <c:extLst>
            <c:ext xmlns:c16="http://schemas.microsoft.com/office/drawing/2014/chart" uri="{C3380CC4-5D6E-409C-BE32-E72D297353CC}">
              <c16:uniqueId val="{00000030-D5D4-450D-A5EB-F1376F5F5A56}"/>
            </c:ext>
          </c:extLst>
        </c:ser>
        <c:ser>
          <c:idx val="2"/>
          <c:order val="2"/>
          <c:tx>
            <c:strRef>
              <c:f>'KPI6'!$D$3:$D$4</c:f>
              <c:strCache>
                <c:ptCount val="1"/>
                <c:pt idx="0">
                  <c:v>Mar</c:v>
                </c:pt>
              </c:strCache>
            </c:strRef>
          </c:tx>
          <c:dPt>
            <c:idx val="0"/>
            <c:bubble3D val="0"/>
            <c:spPr>
              <a:solidFill>
                <a:schemeClr val="accent2">
                  <a:tint val="77000"/>
                </a:schemeClr>
              </a:solidFill>
              <a:ln>
                <a:noFill/>
              </a:ln>
              <a:effectLst/>
            </c:spPr>
            <c:extLst>
              <c:ext xmlns:c16="http://schemas.microsoft.com/office/drawing/2014/chart" uri="{C3380CC4-5D6E-409C-BE32-E72D297353CC}">
                <c16:uniqueId val="{00000009-90FD-490B-AA01-F4432C513C99}"/>
              </c:ext>
            </c:extLst>
          </c:dPt>
          <c:dPt>
            <c:idx val="1"/>
            <c:bubble3D val="0"/>
            <c:spPr>
              <a:solidFill>
                <a:schemeClr val="accent2">
                  <a:tint val="30000"/>
                </a:schemeClr>
              </a:solidFill>
              <a:ln>
                <a:noFill/>
              </a:ln>
              <a:effectLst/>
            </c:spPr>
            <c:extLst>
              <c:ext xmlns:c16="http://schemas.microsoft.com/office/drawing/2014/chart" uri="{C3380CC4-5D6E-409C-BE32-E72D297353CC}">
                <c16:uniqueId val="{0000000B-90FD-490B-AA01-F4432C513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'KPI6'!$D$5:$D$6</c:f>
              <c:numCache>
                <c:formatCode>General</c:formatCode>
                <c:ptCount val="1"/>
                <c:pt idx="0">
                  <c:v>124.2</c:v>
                </c:pt>
              </c:numCache>
            </c:numRef>
          </c:val>
          <c:extLst>
            <c:ext xmlns:c16="http://schemas.microsoft.com/office/drawing/2014/chart" uri="{C3380CC4-5D6E-409C-BE32-E72D297353CC}">
              <c16:uniqueId val="{00000031-D5D4-450D-A5EB-F1376F5F5A56}"/>
            </c:ext>
          </c:extLst>
        </c:ser>
        <c:ser>
          <c:idx val="3"/>
          <c:order val="3"/>
          <c:tx>
            <c:strRef>
              <c:f>'KPI6'!$E$3:$E$4</c:f>
              <c:strCache>
                <c:ptCount val="1"/>
                <c:pt idx="0">
                  <c:v>Apr</c:v>
                </c:pt>
              </c:strCache>
            </c:strRef>
          </c:tx>
          <c:dPt>
            <c:idx val="0"/>
            <c:bubble3D val="0"/>
            <c:spPr>
              <a:solidFill>
                <a:schemeClr val="accent2">
                  <a:tint val="77000"/>
                </a:schemeClr>
              </a:solidFill>
              <a:ln>
                <a:noFill/>
              </a:ln>
              <a:effectLst/>
            </c:spPr>
            <c:extLst>
              <c:ext xmlns:c16="http://schemas.microsoft.com/office/drawing/2014/chart" uri="{C3380CC4-5D6E-409C-BE32-E72D297353CC}">
                <c16:uniqueId val="{0000000D-90FD-490B-AA01-F4432C513C99}"/>
              </c:ext>
            </c:extLst>
          </c:dPt>
          <c:dPt>
            <c:idx val="1"/>
            <c:bubble3D val="0"/>
            <c:spPr>
              <a:solidFill>
                <a:schemeClr val="accent2">
                  <a:tint val="30000"/>
                </a:schemeClr>
              </a:solidFill>
              <a:ln>
                <a:noFill/>
              </a:ln>
              <a:effectLst/>
            </c:spPr>
            <c:extLst>
              <c:ext xmlns:c16="http://schemas.microsoft.com/office/drawing/2014/chart" uri="{C3380CC4-5D6E-409C-BE32-E72D297353CC}">
                <c16:uniqueId val="{0000000F-90FD-490B-AA01-F4432C513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'KPI6'!$E$5:$E$6</c:f>
              <c:numCache>
                <c:formatCode>General</c:formatCode>
                <c:ptCount val="1"/>
                <c:pt idx="0">
                  <c:v>119.10000000000001</c:v>
                </c:pt>
              </c:numCache>
            </c:numRef>
          </c:val>
          <c:extLst>
            <c:ext xmlns:c16="http://schemas.microsoft.com/office/drawing/2014/chart" uri="{C3380CC4-5D6E-409C-BE32-E72D297353CC}">
              <c16:uniqueId val="{00000032-D5D4-450D-A5EB-F1376F5F5A56}"/>
            </c:ext>
          </c:extLst>
        </c:ser>
        <c:ser>
          <c:idx val="4"/>
          <c:order val="4"/>
          <c:tx>
            <c:strRef>
              <c:f>'KPI6'!$F$3:$F$4</c:f>
              <c:strCache>
                <c:ptCount val="1"/>
                <c:pt idx="0">
                  <c:v>May</c:v>
                </c:pt>
              </c:strCache>
            </c:strRef>
          </c:tx>
          <c:dPt>
            <c:idx val="0"/>
            <c:bubble3D val="0"/>
            <c:spPr>
              <a:solidFill>
                <a:schemeClr val="accent2">
                  <a:tint val="77000"/>
                </a:schemeClr>
              </a:solidFill>
              <a:ln>
                <a:noFill/>
              </a:ln>
              <a:effectLst/>
            </c:spPr>
            <c:extLst>
              <c:ext xmlns:c16="http://schemas.microsoft.com/office/drawing/2014/chart" uri="{C3380CC4-5D6E-409C-BE32-E72D297353CC}">
                <c16:uniqueId val="{00000011-90FD-490B-AA01-F4432C513C99}"/>
              </c:ext>
            </c:extLst>
          </c:dPt>
          <c:dPt>
            <c:idx val="1"/>
            <c:bubble3D val="0"/>
            <c:spPr>
              <a:solidFill>
                <a:schemeClr val="accent2">
                  <a:tint val="30000"/>
                </a:schemeClr>
              </a:solidFill>
              <a:ln>
                <a:noFill/>
              </a:ln>
              <a:effectLst/>
            </c:spPr>
            <c:extLst>
              <c:ext xmlns:c16="http://schemas.microsoft.com/office/drawing/2014/chart" uri="{C3380CC4-5D6E-409C-BE32-E72D297353CC}">
                <c16:uniqueId val="{00000013-90FD-490B-AA01-F4432C513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'KPI6'!$F$5:$F$6</c:f>
              <c:numCache>
                <c:formatCode>General</c:formatCode>
                <c:ptCount val="1"/>
                <c:pt idx="0">
                  <c:v>128.60000000000002</c:v>
                </c:pt>
              </c:numCache>
            </c:numRef>
          </c:val>
          <c:extLst>
            <c:ext xmlns:c16="http://schemas.microsoft.com/office/drawing/2014/chart" uri="{C3380CC4-5D6E-409C-BE32-E72D297353CC}">
              <c16:uniqueId val="{00000033-D5D4-450D-A5EB-F1376F5F5A56}"/>
            </c:ext>
          </c:extLst>
        </c:ser>
        <c:ser>
          <c:idx val="5"/>
          <c:order val="5"/>
          <c:tx>
            <c:strRef>
              <c:f>'KPI6'!$G$3:$G$4</c:f>
              <c:strCache>
                <c:ptCount val="1"/>
                <c:pt idx="0">
                  <c:v>Jun</c:v>
                </c:pt>
              </c:strCache>
            </c:strRef>
          </c:tx>
          <c:dPt>
            <c:idx val="0"/>
            <c:bubble3D val="0"/>
            <c:spPr>
              <a:solidFill>
                <a:schemeClr val="accent2">
                  <a:tint val="77000"/>
                </a:schemeClr>
              </a:solidFill>
              <a:ln>
                <a:noFill/>
              </a:ln>
              <a:effectLst/>
            </c:spPr>
            <c:extLst>
              <c:ext xmlns:c16="http://schemas.microsoft.com/office/drawing/2014/chart" uri="{C3380CC4-5D6E-409C-BE32-E72D297353CC}">
                <c16:uniqueId val="{00000015-90FD-490B-AA01-F4432C513C99}"/>
              </c:ext>
            </c:extLst>
          </c:dPt>
          <c:dPt>
            <c:idx val="1"/>
            <c:bubble3D val="0"/>
            <c:spPr>
              <a:solidFill>
                <a:schemeClr val="accent2">
                  <a:tint val="30000"/>
                </a:schemeClr>
              </a:solidFill>
              <a:ln>
                <a:noFill/>
              </a:ln>
              <a:effectLst/>
            </c:spPr>
            <c:extLst>
              <c:ext xmlns:c16="http://schemas.microsoft.com/office/drawing/2014/chart" uri="{C3380CC4-5D6E-409C-BE32-E72D297353CC}">
                <c16:uniqueId val="{00000017-90FD-490B-AA01-F4432C513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'KPI6'!$G$5:$G$6</c:f>
              <c:numCache>
                <c:formatCode>General</c:formatCode>
                <c:ptCount val="1"/>
                <c:pt idx="0">
                  <c:v>117.39999999999999</c:v>
                </c:pt>
              </c:numCache>
            </c:numRef>
          </c:val>
          <c:extLst>
            <c:ext xmlns:c16="http://schemas.microsoft.com/office/drawing/2014/chart" uri="{C3380CC4-5D6E-409C-BE32-E72D297353CC}">
              <c16:uniqueId val="{00000034-D5D4-450D-A5EB-F1376F5F5A56}"/>
            </c:ext>
          </c:extLst>
        </c:ser>
        <c:ser>
          <c:idx val="6"/>
          <c:order val="6"/>
          <c:tx>
            <c:strRef>
              <c:f>'KPI6'!$H$3:$H$4</c:f>
              <c:strCache>
                <c:ptCount val="1"/>
                <c:pt idx="0">
                  <c:v>Jul</c:v>
                </c:pt>
              </c:strCache>
            </c:strRef>
          </c:tx>
          <c:dPt>
            <c:idx val="0"/>
            <c:bubble3D val="0"/>
            <c:spPr>
              <a:solidFill>
                <a:schemeClr val="accent2">
                  <a:tint val="77000"/>
                </a:schemeClr>
              </a:solidFill>
              <a:ln>
                <a:noFill/>
              </a:ln>
              <a:effectLst/>
            </c:spPr>
            <c:extLst>
              <c:ext xmlns:c16="http://schemas.microsoft.com/office/drawing/2014/chart" uri="{C3380CC4-5D6E-409C-BE32-E72D297353CC}">
                <c16:uniqueId val="{00000019-90FD-490B-AA01-F4432C513C99}"/>
              </c:ext>
            </c:extLst>
          </c:dPt>
          <c:dPt>
            <c:idx val="1"/>
            <c:bubble3D val="0"/>
            <c:spPr>
              <a:solidFill>
                <a:schemeClr val="accent2">
                  <a:tint val="30000"/>
                </a:schemeClr>
              </a:solidFill>
              <a:ln>
                <a:noFill/>
              </a:ln>
              <a:effectLst/>
            </c:spPr>
            <c:extLst>
              <c:ext xmlns:c16="http://schemas.microsoft.com/office/drawing/2014/chart" uri="{C3380CC4-5D6E-409C-BE32-E72D297353CC}">
                <c16:uniqueId val="{0000001B-90FD-490B-AA01-F4432C513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'KPI6'!$H$5:$H$6</c:f>
              <c:numCache>
                <c:formatCode>General</c:formatCode>
                <c:ptCount val="1"/>
                <c:pt idx="0">
                  <c:v>109</c:v>
                </c:pt>
              </c:numCache>
            </c:numRef>
          </c:val>
          <c:extLst>
            <c:ext xmlns:c16="http://schemas.microsoft.com/office/drawing/2014/chart" uri="{C3380CC4-5D6E-409C-BE32-E72D297353CC}">
              <c16:uniqueId val="{00000035-D5D4-450D-A5EB-F1376F5F5A56}"/>
            </c:ext>
          </c:extLst>
        </c:ser>
        <c:ser>
          <c:idx val="7"/>
          <c:order val="7"/>
          <c:tx>
            <c:strRef>
              <c:f>'KPI6'!$I$3:$I$4</c:f>
              <c:strCache>
                <c:ptCount val="1"/>
                <c:pt idx="0">
                  <c:v>Aug</c:v>
                </c:pt>
              </c:strCache>
            </c:strRef>
          </c:tx>
          <c:dPt>
            <c:idx val="0"/>
            <c:bubble3D val="0"/>
            <c:spPr>
              <a:solidFill>
                <a:schemeClr val="accent2">
                  <a:tint val="77000"/>
                </a:schemeClr>
              </a:solidFill>
              <a:ln>
                <a:noFill/>
              </a:ln>
              <a:effectLst/>
            </c:spPr>
            <c:extLst>
              <c:ext xmlns:c16="http://schemas.microsoft.com/office/drawing/2014/chart" uri="{C3380CC4-5D6E-409C-BE32-E72D297353CC}">
                <c16:uniqueId val="{0000001D-90FD-490B-AA01-F4432C513C99}"/>
              </c:ext>
            </c:extLst>
          </c:dPt>
          <c:dPt>
            <c:idx val="1"/>
            <c:bubble3D val="0"/>
            <c:spPr>
              <a:solidFill>
                <a:schemeClr val="accent2">
                  <a:tint val="30000"/>
                </a:schemeClr>
              </a:solidFill>
              <a:ln>
                <a:noFill/>
              </a:ln>
              <a:effectLst/>
            </c:spPr>
            <c:extLst>
              <c:ext xmlns:c16="http://schemas.microsoft.com/office/drawing/2014/chart" uri="{C3380CC4-5D6E-409C-BE32-E72D297353CC}">
                <c16:uniqueId val="{0000001F-90FD-490B-AA01-F4432C513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'KPI6'!$I$5:$I$6</c:f>
              <c:numCache>
                <c:formatCode>General</c:formatCode>
                <c:ptCount val="1"/>
                <c:pt idx="0">
                  <c:v>121.40000000000002</c:v>
                </c:pt>
              </c:numCache>
            </c:numRef>
          </c:val>
          <c:extLst>
            <c:ext xmlns:c16="http://schemas.microsoft.com/office/drawing/2014/chart" uri="{C3380CC4-5D6E-409C-BE32-E72D297353CC}">
              <c16:uniqueId val="{00000036-D5D4-450D-A5EB-F1376F5F5A56}"/>
            </c:ext>
          </c:extLst>
        </c:ser>
        <c:ser>
          <c:idx val="8"/>
          <c:order val="8"/>
          <c:tx>
            <c:strRef>
              <c:f>'KPI6'!$J$3:$J$4</c:f>
              <c:strCache>
                <c:ptCount val="1"/>
                <c:pt idx="0">
                  <c:v>Sep</c:v>
                </c:pt>
              </c:strCache>
            </c:strRef>
          </c:tx>
          <c:dPt>
            <c:idx val="0"/>
            <c:bubble3D val="0"/>
            <c:spPr>
              <a:solidFill>
                <a:schemeClr val="accent2">
                  <a:tint val="77000"/>
                </a:schemeClr>
              </a:solidFill>
              <a:ln>
                <a:noFill/>
              </a:ln>
              <a:effectLst/>
            </c:spPr>
            <c:extLst>
              <c:ext xmlns:c16="http://schemas.microsoft.com/office/drawing/2014/chart" uri="{C3380CC4-5D6E-409C-BE32-E72D297353CC}">
                <c16:uniqueId val="{00000021-90FD-490B-AA01-F4432C513C99}"/>
              </c:ext>
            </c:extLst>
          </c:dPt>
          <c:dPt>
            <c:idx val="1"/>
            <c:bubble3D val="0"/>
            <c:spPr>
              <a:solidFill>
                <a:schemeClr val="accent2">
                  <a:tint val="30000"/>
                </a:schemeClr>
              </a:solidFill>
              <a:ln>
                <a:noFill/>
              </a:ln>
              <a:effectLst/>
            </c:spPr>
            <c:extLst>
              <c:ext xmlns:c16="http://schemas.microsoft.com/office/drawing/2014/chart" uri="{C3380CC4-5D6E-409C-BE32-E72D297353CC}">
                <c16:uniqueId val="{00000023-90FD-490B-AA01-F4432C513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'KPI6'!$J$5:$J$6</c:f>
              <c:numCache>
                <c:formatCode>General</c:formatCode>
                <c:ptCount val="1"/>
                <c:pt idx="0">
                  <c:v>107.4</c:v>
                </c:pt>
              </c:numCache>
            </c:numRef>
          </c:val>
          <c:extLst>
            <c:ext xmlns:c16="http://schemas.microsoft.com/office/drawing/2014/chart" uri="{C3380CC4-5D6E-409C-BE32-E72D297353CC}">
              <c16:uniqueId val="{00000037-D5D4-450D-A5EB-F1376F5F5A56}"/>
            </c:ext>
          </c:extLst>
        </c:ser>
        <c:ser>
          <c:idx val="9"/>
          <c:order val="9"/>
          <c:tx>
            <c:strRef>
              <c:f>'KPI6'!$K$3:$K$4</c:f>
              <c:strCache>
                <c:ptCount val="1"/>
                <c:pt idx="0">
                  <c:v>Oct</c:v>
                </c:pt>
              </c:strCache>
            </c:strRef>
          </c:tx>
          <c:dPt>
            <c:idx val="0"/>
            <c:bubble3D val="0"/>
            <c:spPr>
              <a:solidFill>
                <a:schemeClr val="accent2">
                  <a:tint val="77000"/>
                </a:schemeClr>
              </a:solidFill>
              <a:ln>
                <a:noFill/>
              </a:ln>
              <a:effectLst/>
            </c:spPr>
            <c:extLst>
              <c:ext xmlns:c16="http://schemas.microsoft.com/office/drawing/2014/chart" uri="{C3380CC4-5D6E-409C-BE32-E72D297353CC}">
                <c16:uniqueId val="{00000025-90FD-490B-AA01-F4432C513C99}"/>
              </c:ext>
            </c:extLst>
          </c:dPt>
          <c:dPt>
            <c:idx val="1"/>
            <c:bubble3D val="0"/>
            <c:spPr>
              <a:solidFill>
                <a:schemeClr val="accent2">
                  <a:tint val="30000"/>
                </a:schemeClr>
              </a:solidFill>
              <a:ln>
                <a:noFill/>
              </a:ln>
              <a:effectLst/>
            </c:spPr>
            <c:extLst>
              <c:ext xmlns:c16="http://schemas.microsoft.com/office/drawing/2014/chart" uri="{C3380CC4-5D6E-409C-BE32-E72D297353CC}">
                <c16:uniqueId val="{00000027-90FD-490B-AA01-F4432C513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'KPI6'!$K$5:$K$6</c:f>
              <c:numCache>
                <c:formatCode>General</c:formatCode>
                <c:ptCount val="1"/>
                <c:pt idx="0">
                  <c:v>127.1</c:v>
                </c:pt>
              </c:numCache>
            </c:numRef>
          </c:val>
          <c:extLst>
            <c:ext xmlns:c16="http://schemas.microsoft.com/office/drawing/2014/chart" uri="{C3380CC4-5D6E-409C-BE32-E72D297353CC}">
              <c16:uniqueId val="{00000038-D5D4-450D-A5EB-F1376F5F5A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Tools Popularity.xlsx] KPI1!PivotTable5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Popularity</a:t>
            </a:r>
            <a:r>
              <a:rPr lang="en-IN" baseline="0"/>
              <a: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8575" cap="rnd">
            <a:solidFill>
              <a:schemeClr val="accent2"/>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8575" cap="rnd">
            <a:solidFill>
              <a:schemeClr val="accent2"/>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28575" cap="rnd">
            <a:solidFill>
              <a:schemeClr val="accent2"/>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w="28575" cap="rnd">
            <a:solidFill>
              <a:schemeClr val="accent2"/>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28575" cap="rnd">
            <a:solidFill>
              <a:schemeClr val="accent2"/>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w="28575" cap="rnd">
            <a:solidFill>
              <a:schemeClr val="accent2"/>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w="28575" cap="rnd">
            <a:solidFill>
              <a:schemeClr val="accent2"/>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w="28575" cap="rnd">
            <a:solidFill>
              <a:schemeClr val="accent2"/>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2"/>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2"/>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2"/>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2"/>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2"/>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2"/>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KPI1'!$B$3:$B$4</c:f>
              <c:strCache>
                <c:ptCount val="1"/>
                <c:pt idx="0">
                  <c:v>Jan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KPI1'!$B$5:$B$25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0-05AE-4DA1-948A-F0B93330C6F2}"/>
            </c:ext>
          </c:extLst>
        </c:ser>
        <c:ser>
          <c:idx val="1"/>
          <c:order val="1"/>
          <c:tx>
            <c:strRef>
              <c:f>' KPI1'!$C$3:$C$4</c:f>
              <c:strCache>
                <c:ptCount val="1"/>
                <c:pt idx="0">
                  <c:v>Feb</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KPI1'!$C$5:$C$25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1-3E85-40B4-9C5D-E9B38992BC0A}"/>
            </c:ext>
          </c:extLst>
        </c:ser>
        <c:ser>
          <c:idx val="2"/>
          <c:order val="2"/>
          <c:tx>
            <c:strRef>
              <c:f>' KPI1'!$D$3:$D$4</c:f>
              <c:strCache>
                <c:ptCount val="1"/>
                <c:pt idx="0">
                  <c:v>Mar</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KPI1'!$D$5:$D$25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2-3E85-40B4-9C5D-E9B38992BC0A}"/>
            </c:ext>
          </c:extLst>
        </c:ser>
        <c:ser>
          <c:idx val="3"/>
          <c:order val="3"/>
          <c:tx>
            <c:strRef>
              <c:f>' KPI1'!$E$3:$E$4</c:f>
              <c:strCache>
                <c:ptCount val="1"/>
                <c:pt idx="0">
                  <c:v>Apr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KPI1'!$E$5:$E$25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3-3E85-40B4-9C5D-E9B38992BC0A}"/>
            </c:ext>
          </c:extLst>
        </c:ser>
        <c:ser>
          <c:idx val="4"/>
          <c:order val="4"/>
          <c:tx>
            <c:strRef>
              <c:f>' KPI1'!$F$3:$F$4</c:f>
              <c:strCache>
                <c:ptCount val="1"/>
                <c:pt idx="0">
                  <c:v>May</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KPI1'!$F$5:$F$25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4-3E85-40B4-9C5D-E9B38992BC0A}"/>
            </c:ext>
          </c:extLst>
        </c:ser>
        <c:ser>
          <c:idx val="5"/>
          <c:order val="5"/>
          <c:tx>
            <c:strRef>
              <c:f>' KPI1'!$G$3:$G$4</c:f>
              <c:strCache>
                <c:ptCount val="1"/>
                <c:pt idx="0">
                  <c:v>Jun</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KPI1'!$G$5:$G$25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5-3E85-40B4-9C5D-E9B38992BC0A}"/>
            </c:ext>
          </c:extLst>
        </c:ser>
        <c:ser>
          <c:idx val="6"/>
          <c:order val="6"/>
          <c:tx>
            <c:strRef>
              <c:f>' KPI1'!$H$3:$H$4</c:f>
              <c:strCache>
                <c:ptCount val="1"/>
                <c:pt idx="0">
                  <c:v>Jul</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KPI1'!$H$5:$H$25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6-3E85-40B4-9C5D-E9B38992BC0A}"/>
            </c:ext>
          </c:extLst>
        </c:ser>
        <c:ser>
          <c:idx val="7"/>
          <c:order val="7"/>
          <c:tx>
            <c:strRef>
              <c:f>' KPI1'!$I$3:$I$4</c:f>
              <c:strCache>
                <c:ptCount val="1"/>
                <c:pt idx="0">
                  <c:v>Aug</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KPI1'!$I$5:$I$25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7-3E85-40B4-9C5D-E9B38992BC0A}"/>
            </c:ext>
          </c:extLst>
        </c:ser>
        <c:ser>
          <c:idx val="8"/>
          <c:order val="8"/>
          <c:tx>
            <c:strRef>
              <c:f>' KPI1'!$J$3:$J$4</c:f>
              <c:strCache>
                <c:ptCount val="1"/>
                <c:pt idx="0">
                  <c:v>Sep</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KPI1'!$J$5:$J$25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8-3E85-40B4-9C5D-E9B38992BC0A}"/>
            </c:ext>
          </c:extLst>
        </c:ser>
        <c:ser>
          <c:idx val="9"/>
          <c:order val="9"/>
          <c:tx>
            <c:strRef>
              <c:f>' KPI1'!$K$3:$K$4</c:f>
              <c:strCache>
                <c:ptCount val="1"/>
                <c:pt idx="0">
                  <c:v>Oct</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 KPI1'!$A$5:$A$25</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 KPI1'!$K$5:$K$25</c:f>
              <c:numCache>
                <c:formatCode>General</c:formatCode>
                <c:ptCount val="20"/>
                <c:pt idx="0">
                  <c:v>11</c:v>
                </c:pt>
                <c:pt idx="1">
                  <c:v>58</c:v>
                </c:pt>
                <c:pt idx="2">
                  <c:v>20</c:v>
                </c:pt>
                <c:pt idx="3">
                  <c:v>77</c:v>
                </c:pt>
                <c:pt idx="4">
                  <c:v>174</c:v>
                </c:pt>
                <c:pt idx="5">
                  <c:v>131</c:v>
                </c:pt>
                <c:pt idx="6">
                  <c:v>14</c:v>
                </c:pt>
                <c:pt idx="7">
                  <c:v>79</c:v>
                </c:pt>
                <c:pt idx="8">
                  <c:v>67</c:v>
                </c:pt>
                <c:pt idx="9">
                  <c:v>167</c:v>
                </c:pt>
                <c:pt idx="10">
                  <c:v>68</c:v>
                </c:pt>
                <c:pt idx="11">
                  <c:v>24</c:v>
                </c:pt>
                <c:pt idx="12">
                  <c:v>172</c:v>
                </c:pt>
                <c:pt idx="13">
                  <c:v>84</c:v>
                </c:pt>
                <c:pt idx="14">
                  <c:v>38</c:v>
                </c:pt>
                <c:pt idx="15">
                  <c:v>133</c:v>
                </c:pt>
                <c:pt idx="16">
                  <c:v>110</c:v>
                </c:pt>
                <c:pt idx="17">
                  <c:v>154</c:v>
                </c:pt>
                <c:pt idx="18">
                  <c:v>100</c:v>
                </c:pt>
                <c:pt idx="19">
                  <c:v>138</c:v>
                </c:pt>
              </c:numCache>
            </c:numRef>
          </c:val>
          <c:smooth val="0"/>
          <c:extLst>
            <c:ext xmlns:c16="http://schemas.microsoft.com/office/drawing/2014/chart" uri="{C3380CC4-5D6E-409C-BE32-E72D297353CC}">
              <c16:uniqueId val="{00000009-3E85-40B4-9C5D-E9B38992BC0A}"/>
            </c:ext>
          </c:extLst>
        </c:ser>
        <c:dLbls>
          <c:showLegendKey val="0"/>
          <c:showVal val="0"/>
          <c:showCatName val="0"/>
          <c:showSerName val="0"/>
          <c:showPercent val="0"/>
          <c:showBubbleSize val="0"/>
        </c:dLbls>
        <c:marker val="1"/>
        <c:smooth val="0"/>
        <c:axId val="2109520095"/>
        <c:axId val="2109513855"/>
      </c:lineChart>
      <c:catAx>
        <c:axId val="2109520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13855"/>
        <c:crosses val="autoZero"/>
        <c:auto val="1"/>
        <c:lblAlgn val="ctr"/>
        <c:lblOffset val="100"/>
        <c:noMultiLvlLbl val="0"/>
      </c:catAx>
      <c:valAx>
        <c:axId val="210951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2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Tools Popularity.xlsx]KPI2!PivotTable3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Monthwise Growth of tools</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'KPI2'!$B$3:$B$4</c:f>
              <c:strCache>
                <c:ptCount val="1"/>
                <c:pt idx="0">
                  <c:v>Canva Magic Studio</c:v>
                </c:pt>
              </c:strCache>
            </c:strRef>
          </c:tx>
          <c:spPr>
            <a:solidFill>
              <a:schemeClr val="accent1"/>
            </a:solidFill>
            <a:ln>
              <a:noFill/>
            </a:ln>
            <a:effectLst/>
          </c:spPr>
          <c:invertIfNegative val="0"/>
          <c:cat>
            <c:strRef>
              <c:f>'KPI2'!$A$5:$A$10</c:f>
              <c:strCache>
                <c:ptCount val="5"/>
                <c:pt idx="0">
                  <c:v>Jan</c:v>
                </c:pt>
                <c:pt idx="1">
                  <c:v>Mar</c:v>
                </c:pt>
                <c:pt idx="2">
                  <c:v>May</c:v>
                </c:pt>
                <c:pt idx="3">
                  <c:v>Aug</c:v>
                </c:pt>
                <c:pt idx="4">
                  <c:v>Oct</c:v>
                </c:pt>
              </c:strCache>
            </c:strRef>
          </c:cat>
          <c:val>
            <c:numRef>
              <c:f>'KPI2'!$B$5:$B$10</c:f>
              <c:numCache>
                <c:formatCode>General</c:formatCode>
                <c:ptCount val="5"/>
                <c:pt idx="0">
                  <c:v>9.6</c:v>
                </c:pt>
                <c:pt idx="1">
                  <c:v>4.5</c:v>
                </c:pt>
                <c:pt idx="2">
                  <c:v>5.0999999999999996</c:v>
                </c:pt>
                <c:pt idx="3">
                  <c:v>4.8</c:v>
                </c:pt>
                <c:pt idx="4">
                  <c:v>6.9</c:v>
                </c:pt>
              </c:numCache>
            </c:numRef>
          </c:val>
          <c:extLst>
            <c:ext xmlns:c16="http://schemas.microsoft.com/office/drawing/2014/chart" uri="{C3380CC4-5D6E-409C-BE32-E72D297353CC}">
              <c16:uniqueId val="{00000000-D1B5-4668-9261-FEBE88F84B89}"/>
            </c:ext>
          </c:extLst>
        </c:ser>
        <c:ser>
          <c:idx val="1"/>
          <c:order val="1"/>
          <c:tx>
            <c:strRef>
              <c:f>'KPI2'!$C$3:$C$4</c:f>
              <c:strCache>
                <c:ptCount val="1"/>
                <c:pt idx="0">
                  <c:v>Character AI</c:v>
                </c:pt>
              </c:strCache>
            </c:strRef>
          </c:tx>
          <c:spPr>
            <a:solidFill>
              <a:schemeClr val="accent2"/>
            </a:solidFill>
            <a:ln>
              <a:noFill/>
            </a:ln>
            <a:effectLst/>
          </c:spPr>
          <c:invertIfNegative val="0"/>
          <c:cat>
            <c:strRef>
              <c:f>'KPI2'!$A$5:$A$10</c:f>
              <c:strCache>
                <c:ptCount val="5"/>
                <c:pt idx="0">
                  <c:v>Jan</c:v>
                </c:pt>
                <c:pt idx="1">
                  <c:v>Mar</c:v>
                </c:pt>
                <c:pt idx="2">
                  <c:v>May</c:v>
                </c:pt>
                <c:pt idx="3">
                  <c:v>Aug</c:v>
                </c:pt>
                <c:pt idx="4">
                  <c:v>Oct</c:v>
                </c:pt>
              </c:strCache>
            </c:strRef>
          </c:cat>
          <c:val>
            <c:numRef>
              <c:f>'KPI2'!$C$5:$C$10</c:f>
              <c:numCache>
                <c:formatCode>General</c:formatCode>
                <c:ptCount val="5"/>
                <c:pt idx="0">
                  <c:v>5.4</c:v>
                </c:pt>
                <c:pt idx="1">
                  <c:v>3.6</c:v>
                </c:pt>
                <c:pt idx="2">
                  <c:v>2.1</c:v>
                </c:pt>
                <c:pt idx="3">
                  <c:v>9.6999999999999993</c:v>
                </c:pt>
                <c:pt idx="4">
                  <c:v>7.7</c:v>
                </c:pt>
              </c:numCache>
            </c:numRef>
          </c:val>
          <c:extLst>
            <c:ext xmlns:c16="http://schemas.microsoft.com/office/drawing/2014/chart" uri="{C3380CC4-5D6E-409C-BE32-E72D297353CC}">
              <c16:uniqueId val="{00000001-F4BA-4E4F-863D-662ED570A871}"/>
            </c:ext>
          </c:extLst>
        </c:ser>
        <c:ser>
          <c:idx val="2"/>
          <c:order val="2"/>
          <c:tx>
            <c:strRef>
              <c:f>'KPI2'!$D$3:$D$4</c:f>
              <c:strCache>
                <c:ptCount val="1"/>
                <c:pt idx="0">
                  <c:v>ChatGPT</c:v>
                </c:pt>
              </c:strCache>
            </c:strRef>
          </c:tx>
          <c:spPr>
            <a:solidFill>
              <a:schemeClr val="accent3"/>
            </a:solidFill>
            <a:ln>
              <a:noFill/>
            </a:ln>
            <a:effectLst/>
          </c:spPr>
          <c:invertIfNegative val="0"/>
          <c:cat>
            <c:strRef>
              <c:f>'KPI2'!$A$5:$A$10</c:f>
              <c:strCache>
                <c:ptCount val="5"/>
                <c:pt idx="0">
                  <c:v>Jan</c:v>
                </c:pt>
                <c:pt idx="1">
                  <c:v>Mar</c:v>
                </c:pt>
                <c:pt idx="2">
                  <c:v>May</c:v>
                </c:pt>
                <c:pt idx="3">
                  <c:v>Aug</c:v>
                </c:pt>
                <c:pt idx="4">
                  <c:v>Oct</c:v>
                </c:pt>
              </c:strCache>
            </c:strRef>
          </c:cat>
          <c:val>
            <c:numRef>
              <c:f>'KPI2'!$D$5:$D$10</c:f>
              <c:numCache>
                <c:formatCode>General</c:formatCode>
                <c:ptCount val="5"/>
                <c:pt idx="0">
                  <c:v>3</c:v>
                </c:pt>
                <c:pt idx="1">
                  <c:v>8.3000000000000007</c:v>
                </c:pt>
                <c:pt idx="2">
                  <c:v>9.3000000000000007</c:v>
                </c:pt>
                <c:pt idx="3">
                  <c:v>3.8</c:v>
                </c:pt>
                <c:pt idx="4">
                  <c:v>3.5</c:v>
                </c:pt>
              </c:numCache>
            </c:numRef>
          </c:val>
          <c:extLst>
            <c:ext xmlns:c16="http://schemas.microsoft.com/office/drawing/2014/chart" uri="{C3380CC4-5D6E-409C-BE32-E72D297353CC}">
              <c16:uniqueId val="{00000002-F4BA-4E4F-863D-662ED570A871}"/>
            </c:ext>
          </c:extLst>
        </c:ser>
        <c:ser>
          <c:idx val="3"/>
          <c:order val="3"/>
          <c:tx>
            <c:strRef>
              <c:f>'KPI2'!$E$3:$E$4</c:f>
              <c:strCache>
                <c:ptCount val="1"/>
                <c:pt idx="0">
                  <c:v>Claude</c:v>
                </c:pt>
              </c:strCache>
            </c:strRef>
          </c:tx>
          <c:spPr>
            <a:solidFill>
              <a:schemeClr val="accent4"/>
            </a:solidFill>
            <a:ln>
              <a:noFill/>
            </a:ln>
            <a:effectLst/>
          </c:spPr>
          <c:invertIfNegative val="0"/>
          <c:cat>
            <c:strRef>
              <c:f>'KPI2'!$A$5:$A$10</c:f>
              <c:strCache>
                <c:ptCount val="5"/>
                <c:pt idx="0">
                  <c:v>Jan</c:v>
                </c:pt>
                <c:pt idx="1">
                  <c:v>Mar</c:v>
                </c:pt>
                <c:pt idx="2">
                  <c:v>May</c:v>
                </c:pt>
                <c:pt idx="3">
                  <c:v>Aug</c:v>
                </c:pt>
                <c:pt idx="4">
                  <c:v>Oct</c:v>
                </c:pt>
              </c:strCache>
            </c:strRef>
          </c:cat>
          <c:val>
            <c:numRef>
              <c:f>'KPI2'!$E$5:$E$10</c:f>
              <c:numCache>
                <c:formatCode>General</c:formatCode>
                <c:ptCount val="5"/>
                <c:pt idx="0">
                  <c:v>7.9</c:v>
                </c:pt>
                <c:pt idx="1">
                  <c:v>5.4</c:v>
                </c:pt>
                <c:pt idx="2">
                  <c:v>8.1999999999999993</c:v>
                </c:pt>
                <c:pt idx="3">
                  <c:v>9.8000000000000007</c:v>
                </c:pt>
                <c:pt idx="4">
                  <c:v>7.4</c:v>
                </c:pt>
              </c:numCache>
            </c:numRef>
          </c:val>
          <c:extLst>
            <c:ext xmlns:c16="http://schemas.microsoft.com/office/drawing/2014/chart" uri="{C3380CC4-5D6E-409C-BE32-E72D297353CC}">
              <c16:uniqueId val="{00000003-F4BA-4E4F-863D-662ED570A871}"/>
            </c:ext>
          </c:extLst>
        </c:ser>
        <c:ser>
          <c:idx val="4"/>
          <c:order val="4"/>
          <c:tx>
            <c:strRef>
              <c:f>'KPI2'!$F$3:$F$4</c:f>
              <c:strCache>
                <c:ptCount val="1"/>
                <c:pt idx="0">
                  <c:v>DALL·E</c:v>
                </c:pt>
              </c:strCache>
            </c:strRef>
          </c:tx>
          <c:spPr>
            <a:solidFill>
              <a:schemeClr val="accent5"/>
            </a:solidFill>
            <a:ln>
              <a:noFill/>
            </a:ln>
            <a:effectLst/>
          </c:spPr>
          <c:invertIfNegative val="0"/>
          <c:cat>
            <c:strRef>
              <c:f>'KPI2'!$A$5:$A$10</c:f>
              <c:strCache>
                <c:ptCount val="5"/>
                <c:pt idx="0">
                  <c:v>Jan</c:v>
                </c:pt>
                <c:pt idx="1">
                  <c:v>Mar</c:v>
                </c:pt>
                <c:pt idx="2">
                  <c:v>May</c:v>
                </c:pt>
                <c:pt idx="3">
                  <c:v>Aug</c:v>
                </c:pt>
                <c:pt idx="4">
                  <c:v>Oct</c:v>
                </c:pt>
              </c:strCache>
            </c:strRef>
          </c:cat>
          <c:val>
            <c:numRef>
              <c:f>'KPI2'!$F$5:$F$10</c:f>
              <c:numCache>
                <c:formatCode>General</c:formatCode>
                <c:ptCount val="5"/>
                <c:pt idx="0">
                  <c:v>8.1</c:v>
                </c:pt>
                <c:pt idx="1">
                  <c:v>8.3000000000000007</c:v>
                </c:pt>
                <c:pt idx="2">
                  <c:v>6.4</c:v>
                </c:pt>
                <c:pt idx="3">
                  <c:v>6.9</c:v>
                </c:pt>
                <c:pt idx="4">
                  <c:v>8.6999999999999993</c:v>
                </c:pt>
              </c:numCache>
            </c:numRef>
          </c:val>
          <c:extLst>
            <c:ext xmlns:c16="http://schemas.microsoft.com/office/drawing/2014/chart" uri="{C3380CC4-5D6E-409C-BE32-E72D297353CC}">
              <c16:uniqueId val="{00000004-F4BA-4E4F-863D-662ED570A871}"/>
            </c:ext>
          </c:extLst>
        </c:ser>
        <c:ser>
          <c:idx val="5"/>
          <c:order val="5"/>
          <c:tx>
            <c:strRef>
              <c:f>'KPI2'!$G$3:$G$4</c:f>
              <c:strCache>
                <c:ptCount val="1"/>
                <c:pt idx="0">
                  <c:v>DeepL</c:v>
                </c:pt>
              </c:strCache>
            </c:strRef>
          </c:tx>
          <c:spPr>
            <a:solidFill>
              <a:schemeClr val="accent6"/>
            </a:solidFill>
            <a:ln>
              <a:noFill/>
            </a:ln>
            <a:effectLst/>
          </c:spPr>
          <c:invertIfNegative val="0"/>
          <c:cat>
            <c:strRef>
              <c:f>'KPI2'!$A$5:$A$10</c:f>
              <c:strCache>
                <c:ptCount val="5"/>
                <c:pt idx="0">
                  <c:v>Jan</c:v>
                </c:pt>
                <c:pt idx="1">
                  <c:v>Mar</c:v>
                </c:pt>
                <c:pt idx="2">
                  <c:v>May</c:v>
                </c:pt>
                <c:pt idx="3">
                  <c:v>Aug</c:v>
                </c:pt>
                <c:pt idx="4">
                  <c:v>Oct</c:v>
                </c:pt>
              </c:strCache>
            </c:strRef>
          </c:cat>
          <c:val>
            <c:numRef>
              <c:f>'KPI2'!$G$5:$G$10</c:f>
              <c:numCache>
                <c:formatCode>General</c:formatCode>
                <c:ptCount val="5"/>
                <c:pt idx="0">
                  <c:v>9.1999999999999993</c:v>
                </c:pt>
                <c:pt idx="1">
                  <c:v>5.2</c:v>
                </c:pt>
                <c:pt idx="2">
                  <c:v>8.4</c:v>
                </c:pt>
                <c:pt idx="3">
                  <c:v>4.5</c:v>
                </c:pt>
                <c:pt idx="4">
                  <c:v>4.4000000000000004</c:v>
                </c:pt>
              </c:numCache>
            </c:numRef>
          </c:val>
          <c:extLst>
            <c:ext xmlns:c16="http://schemas.microsoft.com/office/drawing/2014/chart" uri="{C3380CC4-5D6E-409C-BE32-E72D297353CC}">
              <c16:uniqueId val="{00000005-F4BA-4E4F-863D-662ED570A871}"/>
            </c:ext>
          </c:extLst>
        </c:ser>
        <c:ser>
          <c:idx val="6"/>
          <c:order val="6"/>
          <c:tx>
            <c:strRef>
              <c:f>'KPI2'!$H$3:$H$4</c:f>
              <c:strCache>
                <c:ptCount val="1"/>
                <c:pt idx="0">
                  <c:v>Descript</c:v>
                </c:pt>
              </c:strCache>
            </c:strRef>
          </c:tx>
          <c:spPr>
            <a:solidFill>
              <a:schemeClr val="accent1">
                <a:lumMod val="6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'KPI2'!$H$5:$H$10</c:f>
              <c:numCache>
                <c:formatCode>General</c:formatCode>
                <c:ptCount val="5"/>
                <c:pt idx="0">
                  <c:v>9.6</c:v>
                </c:pt>
                <c:pt idx="1">
                  <c:v>9.9</c:v>
                </c:pt>
                <c:pt idx="2">
                  <c:v>6.4</c:v>
                </c:pt>
                <c:pt idx="3">
                  <c:v>3.5</c:v>
                </c:pt>
                <c:pt idx="4">
                  <c:v>8.5</c:v>
                </c:pt>
              </c:numCache>
            </c:numRef>
          </c:val>
          <c:extLst>
            <c:ext xmlns:c16="http://schemas.microsoft.com/office/drawing/2014/chart" uri="{C3380CC4-5D6E-409C-BE32-E72D297353CC}">
              <c16:uniqueId val="{00000006-F4BA-4E4F-863D-662ED570A871}"/>
            </c:ext>
          </c:extLst>
        </c:ser>
        <c:ser>
          <c:idx val="7"/>
          <c:order val="7"/>
          <c:tx>
            <c:strRef>
              <c:f>'KPI2'!$I$3:$I$4</c:f>
              <c:strCache>
                <c:ptCount val="1"/>
                <c:pt idx="0">
                  <c:v>ElevenLabs</c:v>
                </c:pt>
              </c:strCache>
            </c:strRef>
          </c:tx>
          <c:spPr>
            <a:solidFill>
              <a:schemeClr val="accent2">
                <a:lumMod val="6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'KPI2'!$I$5:$I$10</c:f>
              <c:numCache>
                <c:formatCode>General</c:formatCode>
                <c:ptCount val="5"/>
                <c:pt idx="0">
                  <c:v>6.3</c:v>
                </c:pt>
                <c:pt idx="1">
                  <c:v>7.6</c:v>
                </c:pt>
                <c:pt idx="2">
                  <c:v>6.9</c:v>
                </c:pt>
                <c:pt idx="3">
                  <c:v>8.1999999999999993</c:v>
                </c:pt>
                <c:pt idx="4">
                  <c:v>5.2</c:v>
                </c:pt>
              </c:numCache>
            </c:numRef>
          </c:val>
          <c:extLst>
            <c:ext xmlns:c16="http://schemas.microsoft.com/office/drawing/2014/chart" uri="{C3380CC4-5D6E-409C-BE32-E72D297353CC}">
              <c16:uniqueId val="{00000007-F4BA-4E4F-863D-662ED570A871}"/>
            </c:ext>
          </c:extLst>
        </c:ser>
        <c:ser>
          <c:idx val="8"/>
          <c:order val="8"/>
          <c:tx>
            <c:strRef>
              <c:f>'KPI2'!$J$3:$J$4</c:f>
              <c:strCache>
                <c:ptCount val="1"/>
                <c:pt idx="0">
                  <c:v>Gemini</c:v>
                </c:pt>
              </c:strCache>
            </c:strRef>
          </c:tx>
          <c:spPr>
            <a:solidFill>
              <a:schemeClr val="accent3">
                <a:lumMod val="6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'KPI2'!$J$5:$J$10</c:f>
              <c:numCache>
                <c:formatCode>General</c:formatCode>
                <c:ptCount val="5"/>
                <c:pt idx="0">
                  <c:v>7.5</c:v>
                </c:pt>
                <c:pt idx="1">
                  <c:v>9.4</c:v>
                </c:pt>
                <c:pt idx="2">
                  <c:v>7.2</c:v>
                </c:pt>
                <c:pt idx="3">
                  <c:v>3.3</c:v>
                </c:pt>
                <c:pt idx="4">
                  <c:v>9.6</c:v>
                </c:pt>
              </c:numCache>
            </c:numRef>
          </c:val>
          <c:extLst>
            <c:ext xmlns:c16="http://schemas.microsoft.com/office/drawing/2014/chart" uri="{C3380CC4-5D6E-409C-BE32-E72D297353CC}">
              <c16:uniqueId val="{00000008-F4BA-4E4F-863D-662ED570A871}"/>
            </c:ext>
          </c:extLst>
        </c:ser>
        <c:ser>
          <c:idx val="9"/>
          <c:order val="9"/>
          <c:tx>
            <c:strRef>
              <c:f>'KPI2'!$K$3:$K$4</c:f>
              <c:strCache>
                <c:ptCount val="1"/>
                <c:pt idx="0">
                  <c:v>GrammarlyGO</c:v>
                </c:pt>
              </c:strCache>
            </c:strRef>
          </c:tx>
          <c:spPr>
            <a:solidFill>
              <a:schemeClr val="accent4">
                <a:lumMod val="6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'KPI2'!$K$5:$K$10</c:f>
              <c:numCache>
                <c:formatCode>General</c:formatCode>
                <c:ptCount val="5"/>
                <c:pt idx="0">
                  <c:v>8.6999999999999993</c:v>
                </c:pt>
                <c:pt idx="1">
                  <c:v>2.7</c:v>
                </c:pt>
                <c:pt idx="2">
                  <c:v>5.4</c:v>
                </c:pt>
                <c:pt idx="3">
                  <c:v>4.5999999999999996</c:v>
                </c:pt>
                <c:pt idx="4">
                  <c:v>8.4</c:v>
                </c:pt>
              </c:numCache>
            </c:numRef>
          </c:val>
          <c:extLst>
            <c:ext xmlns:c16="http://schemas.microsoft.com/office/drawing/2014/chart" uri="{C3380CC4-5D6E-409C-BE32-E72D297353CC}">
              <c16:uniqueId val="{00000009-F4BA-4E4F-863D-662ED570A871}"/>
            </c:ext>
          </c:extLst>
        </c:ser>
        <c:ser>
          <c:idx val="10"/>
          <c:order val="10"/>
          <c:tx>
            <c:strRef>
              <c:f>'KPI2'!$L$3:$L$4</c:f>
              <c:strCache>
                <c:ptCount val="1"/>
                <c:pt idx="0">
                  <c:v>Jasper AI</c:v>
                </c:pt>
              </c:strCache>
            </c:strRef>
          </c:tx>
          <c:spPr>
            <a:solidFill>
              <a:schemeClr val="accent5">
                <a:lumMod val="6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'KPI2'!$L$5:$L$10</c:f>
              <c:numCache>
                <c:formatCode>General</c:formatCode>
                <c:ptCount val="5"/>
                <c:pt idx="0">
                  <c:v>9.6999999999999993</c:v>
                </c:pt>
                <c:pt idx="1">
                  <c:v>4.7</c:v>
                </c:pt>
                <c:pt idx="2">
                  <c:v>5</c:v>
                </c:pt>
                <c:pt idx="3">
                  <c:v>2.4</c:v>
                </c:pt>
                <c:pt idx="4">
                  <c:v>4.8</c:v>
                </c:pt>
              </c:numCache>
            </c:numRef>
          </c:val>
          <c:extLst>
            <c:ext xmlns:c16="http://schemas.microsoft.com/office/drawing/2014/chart" uri="{C3380CC4-5D6E-409C-BE32-E72D297353CC}">
              <c16:uniqueId val="{0000000A-F4BA-4E4F-863D-662ED570A871}"/>
            </c:ext>
          </c:extLst>
        </c:ser>
        <c:ser>
          <c:idx val="11"/>
          <c:order val="11"/>
          <c:tx>
            <c:strRef>
              <c:f>'KPI2'!$M$3:$M$4</c:f>
              <c:strCache>
                <c:ptCount val="1"/>
                <c:pt idx="0">
                  <c:v>Microsoft Copilot</c:v>
                </c:pt>
              </c:strCache>
            </c:strRef>
          </c:tx>
          <c:spPr>
            <a:solidFill>
              <a:schemeClr val="accent6">
                <a:lumMod val="6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'KPI2'!$M$5:$M$10</c:f>
              <c:numCache>
                <c:formatCode>General</c:formatCode>
                <c:ptCount val="5"/>
                <c:pt idx="0">
                  <c:v>9.1</c:v>
                </c:pt>
                <c:pt idx="1">
                  <c:v>3.3</c:v>
                </c:pt>
                <c:pt idx="2">
                  <c:v>9.6</c:v>
                </c:pt>
                <c:pt idx="3">
                  <c:v>9.9</c:v>
                </c:pt>
                <c:pt idx="4">
                  <c:v>2.6</c:v>
                </c:pt>
              </c:numCache>
            </c:numRef>
          </c:val>
          <c:extLst>
            <c:ext xmlns:c16="http://schemas.microsoft.com/office/drawing/2014/chart" uri="{C3380CC4-5D6E-409C-BE32-E72D297353CC}">
              <c16:uniqueId val="{0000000B-F4BA-4E4F-863D-662ED570A871}"/>
            </c:ext>
          </c:extLst>
        </c:ser>
        <c:ser>
          <c:idx val="12"/>
          <c:order val="12"/>
          <c:tx>
            <c:strRef>
              <c:f>'KPI2'!$N$3:$N$4</c:f>
              <c:strCache>
                <c:ptCount val="1"/>
                <c:pt idx="0">
                  <c:v>Midjourney</c:v>
                </c:pt>
              </c:strCache>
            </c:strRef>
          </c:tx>
          <c:spPr>
            <a:solidFill>
              <a:schemeClr val="accent1">
                <a:lumMod val="80000"/>
                <a:lumOff val="2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'KPI2'!$N$5:$N$10</c:f>
              <c:numCache>
                <c:formatCode>General</c:formatCode>
                <c:ptCount val="5"/>
                <c:pt idx="0">
                  <c:v>5.5</c:v>
                </c:pt>
                <c:pt idx="1">
                  <c:v>5.0999999999999996</c:v>
                </c:pt>
                <c:pt idx="2">
                  <c:v>9.1999999999999993</c:v>
                </c:pt>
                <c:pt idx="3">
                  <c:v>6.6</c:v>
                </c:pt>
                <c:pt idx="4">
                  <c:v>3.9</c:v>
                </c:pt>
              </c:numCache>
            </c:numRef>
          </c:val>
          <c:extLst>
            <c:ext xmlns:c16="http://schemas.microsoft.com/office/drawing/2014/chart" uri="{C3380CC4-5D6E-409C-BE32-E72D297353CC}">
              <c16:uniqueId val="{0000000C-F4BA-4E4F-863D-662ED570A871}"/>
            </c:ext>
          </c:extLst>
        </c:ser>
        <c:ser>
          <c:idx val="13"/>
          <c:order val="13"/>
          <c:tx>
            <c:strRef>
              <c:f>'KPI2'!$O$3:$O$4</c:f>
              <c:strCache>
                <c:ptCount val="1"/>
                <c:pt idx="0">
                  <c:v>Notion AI</c:v>
                </c:pt>
              </c:strCache>
            </c:strRef>
          </c:tx>
          <c:spPr>
            <a:solidFill>
              <a:schemeClr val="accent2">
                <a:lumMod val="80000"/>
                <a:lumOff val="2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'KPI2'!$O$5:$O$10</c:f>
              <c:numCache>
                <c:formatCode>General</c:formatCode>
                <c:ptCount val="5"/>
                <c:pt idx="0">
                  <c:v>8.1</c:v>
                </c:pt>
                <c:pt idx="1">
                  <c:v>9.6</c:v>
                </c:pt>
                <c:pt idx="2">
                  <c:v>5.2</c:v>
                </c:pt>
                <c:pt idx="3">
                  <c:v>7.4</c:v>
                </c:pt>
                <c:pt idx="4">
                  <c:v>5.7</c:v>
                </c:pt>
              </c:numCache>
            </c:numRef>
          </c:val>
          <c:extLst>
            <c:ext xmlns:c16="http://schemas.microsoft.com/office/drawing/2014/chart" uri="{C3380CC4-5D6E-409C-BE32-E72D297353CC}">
              <c16:uniqueId val="{0000000D-F4BA-4E4F-863D-662ED570A871}"/>
            </c:ext>
          </c:extLst>
        </c:ser>
        <c:ser>
          <c:idx val="14"/>
          <c:order val="14"/>
          <c:tx>
            <c:strRef>
              <c:f>'KPI2'!$P$3:$P$4</c:f>
              <c:strCache>
                <c:ptCount val="1"/>
                <c:pt idx="0">
                  <c:v>Perplexity AI</c:v>
                </c:pt>
              </c:strCache>
            </c:strRef>
          </c:tx>
          <c:spPr>
            <a:solidFill>
              <a:schemeClr val="accent3">
                <a:lumMod val="80000"/>
                <a:lumOff val="2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'KPI2'!$P$5:$P$10</c:f>
              <c:numCache>
                <c:formatCode>General</c:formatCode>
                <c:ptCount val="5"/>
                <c:pt idx="0">
                  <c:v>2.8</c:v>
                </c:pt>
                <c:pt idx="1">
                  <c:v>9.1999999999999993</c:v>
                </c:pt>
                <c:pt idx="2">
                  <c:v>2.7</c:v>
                </c:pt>
                <c:pt idx="3">
                  <c:v>7.7</c:v>
                </c:pt>
                <c:pt idx="4">
                  <c:v>9</c:v>
                </c:pt>
              </c:numCache>
            </c:numRef>
          </c:val>
          <c:extLst>
            <c:ext xmlns:c16="http://schemas.microsoft.com/office/drawing/2014/chart" uri="{C3380CC4-5D6E-409C-BE32-E72D297353CC}">
              <c16:uniqueId val="{0000000E-F4BA-4E4F-863D-662ED570A871}"/>
            </c:ext>
          </c:extLst>
        </c:ser>
        <c:ser>
          <c:idx val="15"/>
          <c:order val="15"/>
          <c:tx>
            <c:strRef>
              <c:f>'KPI2'!$Q$3:$Q$4</c:f>
              <c:strCache>
                <c:ptCount val="1"/>
                <c:pt idx="0">
                  <c:v>Poe AI</c:v>
                </c:pt>
              </c:strCache>
            </c:strRef>
          </c:tx>
          <c:spPr>
            <a:solidFill>
              <a:schemeClr val="accent4">
                <a:lumMod val="80000"/>
                <a:lumOff val="2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'KPI2'!$Q$5:$Q$10</c:f>
              <c:numCache>
                <c:formatCode>General</c:formatCode>
                <c:ptCount val="5"/>
                <c:pt idx="0">
                  <c:v>9.8000000000000007</c:v>
                </c:pt>
                <c:pt idx="1">
                  <c:v>8.6</c:v>
                </c:pt>
                <c:pt idx="2">
                  <c:v>5.9</c:v>
                </c:pt>
                <c:pt idx="3">
                  <c:v>4.0999999999999996</c:v>
                </c:pt>
                <c:pt idx="4">
                  <c:v>6.8</c:v>
                </c:pt>
              </c:numCache>
            </c:numRef>
          </c:val>
          <c:extLst>
            <c:ext xmlns:c16="http://schemas.microsoft.com/office/drawing/2014/chart" uri="{C3380CC4-5D6E-409C-BE32-E72D297353CC}">
              <c16:uniqueId val="{0000000F-F4BA-4E4F-863D-662ED570A871}"/>
            </c:ext>
          </c:extLst>
        </c:ser>
        <c:ser>
          <c:idx val="16"/>
          <c:order val="16"/>
          <c:tx>
            <c:strRef>
              <c:f>'KPI2'!$R$3:$R$4</c:f>
              <c:strCache>
                <c:ptCount val="1"/>
                <c:pt idx="0">
                  <c:v>Replit Ghostwriter</c:v>
                </c:pt>
              </c:strCache>
            </c:strRef>
          </c:tx>
          <c:spPr>
            <a:solidFill>
              <a:schemeClr val="accent5">
                <a:lumMod val="80000"/>
                <a:lumOff val="2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'KPI2'!$R$5:$R$10</c:f>
              <c:numCache>
                <c:formatCode>General</c:formatCode>
                <c:ptCount val="5"/>
                <c:pt idx="0">
                  <c:v>7.5</c:v>
                </c:pt>
                <c:pt idx="1">
                  <c:v>3.3</c:v>
                </c:pt>
                <c:pt idx="2">
                  <c:v>6.9</c:v>
                </c:pt>
                <c:pt idx="3">
                  <c:v>7.1</c:v>
                </c:pt>
                <c:pt idx="4">
                  <c:v>3.5</c:v>
                </c:pt>
              </c:numCache>
            </c:numRef>
          </c:val>
          <c:extLst>
            <c:ext xmlns:c16="http://schemas.microsoft.com/office/drawing/2014/chart" uri="{C3380CC4-5D6E-409C-BE32-E72D297353CC}">
              <c16:uniqueId val="{00000010-F4BA-4E4F-863D-662ED570A871}"/>
            </c:ext>
          </c:extLst>
        </c:ser>
        <c:ser>
          <c:idx val="17"/>
          <c:order val="17"/>
          <c:tx>
            <c:strRef>
              <c:f>'KPI2'!$S$3:$S$4</c:f>
              <c:strCache>
                <c:ptCount val="1"/>
                <c:pt idx="0">
                  <c:v>Runway ML</c:v>
                </c:pt>
              </c:strCache>
            </c:strRef>
          </c:tx>
          <c:spPr>
            <a:solidFill>
              <a:schemeClr val="accent6">
                <a:lumMod val="80000"/>
                <a:lumOff val="2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'KPI2'!$S$5:$S$10</c:f>
              <c:numCache>
                <c:formatCode>General</c:formatCode>
                <c:ptCount val="5"/>
                <c:pt idx="0">
                  <c:v>5.6</c:v>
                </c:pt>
                <c:pt idx="1">
                  <c:v>5.5</c:v>
                </c:pt>
                <c:pt idx="2">
                  <c:v>8.3000000000000007</c:v>
                </c:pt>
                <c:pt idx="3">
                  <c:v>7.8</c:v>
                </c:pt>
                <c:pt idx="4">
                  <c:v>4.8</c:v>
                </c:pt>
              </c:numCache>
            </c:numRef>
          </c:val>
          <c:extLst>
            <c:ext xmlns:c16="http://schemas.microsoft.com/office/drawing/2014/chart" uri="{C3380CC4-5D6E-409C-BE32-E72D297353CC}">
              <c16:uniqueId val="{00000011-F4BA-4E4F-863D-662ED570A871}"/>
            </c:ext>
          </c:extLst>
        </c:ser>
        <c:ser>
          <c:idx val="18"/>
          <c:order val="18"/>
          <c:tx>
            <c:strRef>
              <c:f>'KPI2'!$T$3:$T$4</c:f>
              <c:strCache>
                <c:ptCount val="1"/>
                <c:pt idx="0">
                  <c:v>Sora</c:v>
                </c:pt>
              </c:strCache>
            </c:strRef>
          </c:tx>
          <c:spPr>
            <a:solidFill>
              <a:schemeClr val="accent1">
                <a:lumMod val="8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'KPI2'!$T$5:$T$10</c:f>
              <c:numCache>
                <c:formatCode>General</c:formatCode>
                <c:ptCount val="5"/>
                <c:pt idx="0">
                  <c:v>9</c:v>
                </c:pt>
                <c:pt idx="1">
                  <c:v>3.8</c:v>
                </c:pt>
                <c:pt idx="2">
                  <c:v>3.2</c:v>
                </c:pt>
                <c:pt idx="3">
                  <c:v>5.3</c:v>
                </c:pt>
                <c:pt idx="4">
                  <c:v>7.1</c:v>
                </c:pt>
              </c:numCache>
            </c:numRef>
          </c:val>
          <c:extLst>
            <c:ext xmlns:c16="http://schemas.microsoft.com/office/drawing/2014/chart" uri="{C3380CC4-5D6E-409C-BE32-E72D297353CC}">
              <c16:uniqueId val="{00000012-F4BA-4E4F-863D-662ED570A871}"/>
            </c:ext>
          </c:extLst>
        </c:ser>
        <c:ser>
          <c:idx val="19"/>
          <c:order val="19"/>
          <c:tx>
            <c:strRef>
              <c:f>'KPI2'!$U$3:$U$4</c:f>
              <c:strCache>
                <c:ptCount val="1"/>
                <c:pt idx="0">
                  <c:v>Synthesia</c:v>
                </c:pt>
              </c:strCache>
            </c:strRef>
          </c:tx>
          <c:spPr>
            <a:solidFill>
              <a:schemeClr val="accent2">
                <a:lumMod val="80000"/>
              </a:schemeClr>
            </a:solidFill>
            <a:ln>
              <a:noFill/>
            </a:ln>
            <a:effectLst/>
          </c:spPr>
          <c:invertIfNegative val="0"/>
          <c:cat>
            <c:strRef>
              <c:f>'KPI2'!$A$5:$A$10</c:f>
              <c:strCache>
                <c:ptCount val="5"/>
                <c:pt idx="0">
                  <c:v>Jan</c:v>
                </c:pt>
                <c:pt idx="1">
                  <c:v>Mar</c:v>
                </c:pt>
                <c:pt idx="2">
                  <c:v>May</c:v>
                </c:pt>
                <c:pt idx="3">
                  <c:v>Aug</c:v>
                </c:pt>
                <c:pt idx="4">
                  <c:v>Oct</c:v>
                </c:pt>
              </c:strCache>
            </c:strRef>
          </c:cat>
          <c:val>
            <c:numRef>
              <c:f>'KPI2'!$U$5:$U$10</c:f>
              <c:numCache>
                <c:formatCode>General</c:formatCode>
                <c:ptCount val="5"/>
                <c:pt idx="0">
                  <c:v>4.3</c:v>
                </c:pt>
                <c:pt idx="1">
                  <c:v>6.2</c:v>
                </c:pt>
                <c:pt idx="2">
                  <c:v>7.2</c:v>
                </c:pt>
                <c:pt idx="3">
                  <c:v>4</c:v>
                </c:pt>
                <c:pt idx="4">
                  <c:v>8.6</c:v>
                </c:pt>
              </c:numCache>
            </c:numRef>
          </c:val>
          <c:extLst>
            <c:ext xmlns:c16="http://schemas.microsoft.com/office/drawing/2014/chart" uri="{C3380CC4-5D6E-409C-BE32-E72D297353CC}">
              <c16:uniqueId val="{00000013-F4BA-4E4F-863D-662ED570A871}"/>
            </c:ext>
          </c:extLst>
        </c:ser>
        <c:dLbls>
          <c:showLegendKey val="0"/>
          <c:showVal val="0"/>
          <c:showCatName val="0"/>
          <c:showSerName val="0"/>
          <c:showPercent val="0"/>
          <c:showBubbleSize val="0"/>
        </c:dLbls>
        <c:gapWidth val="219"/>
        <c:axId val="2109561855"/>
        <c:axId val="2109546015"/>
      </c:barChart>
      <c:catAx>
        <c:axId val="210956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46015"/>
        <c:crosses val="autoZero"/>
        <c:auto val="1"/>
        <c:lblAlgn val="ctr"/>
        <c:lblOffset val="100"/>
        <c:noMultiLvlLbl val="0"/>
      </c:catAx>
      <c:valAx>
        <c:axId val="210954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6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Tools Popularity.xlsx]KPI3!PivotTable2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Categorywise</a:t>
            </a:r>
            <a:r>
              <a:rPr lang="en-IN" baseline="0"/>
              <a:t> Active Users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s>
    <c:plotArea>
      <c:layout/>
      <c:doughnutChart>
        <c:varyColors val="1"/>
        <c:ser>
          <c:idx val="0"/>
          <c:order val="0"/>
          <c:tx>
            <c:strRef>
              <c:f>'KPI3'!$B$3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311-4B05-A9FC-C30668C7F3AC}"/>
              </c:ext>
            </c:extLst>
          </c:dPt>
          <c:dPt>
            <c:idx val="1"/>
            <c:bubble3D val="0"/>
            <c:spPr>
              <a:solidFill>
                <a:schemeClr val="accent2"/>
              </a:solidFill>
              <a:ln>
                <a:noFill/>
              </a:ln>
              <a:effectLst/>
            </c:spPr>
            <c:extLst>
              <c:ext xmlns:c16="http://schemas.microsoft.com/office/drawing/2014/chart" uri="{C3380CC4-5D6E-409C-BE32-E72D297353CC}">
                <c16:uniqueId val="{00000003-1311-4B05-A9FC-C30668C7F3AC}"/>
              </c:ext>
            </c:extLst>
          </c:dPt>
          <c:dPt>
            <c:idx val="2"/>
            <c:bubble3D val="0"/>
            <c:spPr>
              <a:solidFill>
                <a:schemeClr val="accent3"/>
              </a:solidFill>
              <a:ln>
                <a:noFill/>
              </a:ln>
              <a:effectLst/>
            </c:spPr>
            <c:extLst>
              <c:ext xmlns:c16="http://schemas.microsoft.com/office/drawing/2014/chart" uri="{C3380CC4-5D6E-409C-BE32-E72D297353CC}">
                <c16:uniqueId val="{00000005-1311-4B05-A9FC-C30668C7F3AC}"/>
              </c:ext>
            </c:extLst>
          </c:dPt>
          <c:dPt>
            <c:idx val="3"/>
            <c:bubble3D val="0"/>
            <c:spPr>
              <a:solidFill>
                <a:schemeClr val="accent4"/>
              </a:solidFill>
              <a:ln>
                <a:noFill/>
              </a:ln>
              <a:effectLst/>
            </c:spPr>
            <c:extLst>
              <c:ext xmlns:c16="http://schemas.microsoft.com/office/drawing/2014/chart" uri="{C3380CC4-5D6E-409C-BE32-E72D297353CC}">
                <c16:uniqueId val="{00000007-1311-4B05-A9FC-C30668C7F3AC}"/>
              </c:ext>
            </c:extLst>
          </c:dPt>
          <c:dPt>
            <c:idx val="4"/>
            <c:bubble3D val="0"/>
            <c:spPr>
              <a:solidFill>
                <a:schemeClr val="accent5"/>
              </a:solidFill>
              <a:ln>
                <a:noFill/>
              </a:ln>
              <a:effectLst/>
            </c:spPr>
            <c:extLst>
              <c:ext xmlns:c16="http://schemas.microsoft.com/office/drawing/2014/chart" uri="{C3380CC4-5D6E-409C-BE32-E72D297353CC}">
                <c16:uniqueId val="{00000009-1311-4B05-A9FC-C30668C7F3AC}"/>
              </c:ext>
            </c:extLst>
          </c:dPt>
          <c:dPt>
            <c:idx val="5"/>
            <c:bubble3D val="0"/>
            <c:spPr>
              <a:solidFill>
                <a:schemeClr val="accent6"/>
              </a:solidFill>
              <a:ln>
                <a:noFill/>
              </a:ln>
              <a:effectLst/>
            </c:spPr>
            <c:extLst>
              <c:ext xmlns:c16="http://schemas.microsoft.com/office/drawing/2014/chart" uri="{C3380CC4-5D6E-409C-BE32-E72D297353CC}">
                <c16:uniqueId val="{0000000B-1311-4B05-A9FC-C30668C7F3A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311-4B05-A9FC-C30668C7F3A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311-4B05-A9FC-C30668C7F3A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311-4B05-A9FC-C30668C7F3AC}"/>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311-4B05-A9FC-C30668C7F3AC}"/>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1311-4B05-A9FC-C30668C7F3AC}"/>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1311-4B05-A9FC-C30668C7F3AC}"/>
              </c:ext>
            </c:extLst>
          </c:dPt>
          <c:cat>
            <c:strRef>
              <c:f>'KPI3'!$A$4:$A$16</c:f>
              <c:strCache>
                <c:ptCount val="12"/>
                <c:pt idx="0">
                  <c:v>Audio AI</c:v>
                </c:pt>
                <c:pt idx="1">
                  <c:v>Chat Aggregator</c:v>
                </c:pt>
                <c:pt idx="2">
                  <c:v>Coding AI</c:v>
                </c:pt>
                <c:pt idx="3">
                  <c:v>Conversational AI</c:v>
                </c:pt>
                <c:pt idx="4">
                  <c:v>Design AI</c:v>
                </c:pt>
                <c:pt idx="5">
                  <c:v>Image Generation</c:v>
                </c:pt>
                <c:pt idx="6">
                  <c:v>Productivity AI</c:v>
                </c:pt>
                <c:pt idx="7">
                  <c:v>Search AI</c:v>
                </c:pt>
                <c:pt idx="8">
                  <c:v>Translation AI</c:v>
                </c:pt>
                <c:pt idx="9">
                  <c:v>Video AI</c:v>
                </c:pt>
                <c:pt idx="10">
                  <c:v>Voice AI</c:v>
                </c:pt>
                <c:pt idx="11">
                  <c:v>Writing AI</c:v>
                </c:pt>
              </c:strCache>
            </c:strRef>
          </c:cat>
          <c:val>
            <c:numRef>
              <c:f>'KPI3'!$B$4:$B$16</c:f>
              <c:numCache>
                <c:formatCode>General</c:formatCode>
                <c:ptCount val="12"/>
                <c:pt idx="0">
                  <c:v>140</c:v>
                </c:pt>
                <c:pt idx="1">
                  <c:v>1330</c:v>
                </c:pt>
                <c:pt idx="2">
                  <c:v>1340</c:v>
                </c:pt>
                <c:pt idx="3">
                  <c:v>2220</c:v>
                </c:pt>
                <c:pt idx="4">
                  <c:v>110</c:v>
                </c:pt>
                <c:pt idx="5">
                  <c:v>3460</c:v>
                </c:pt>
                <c:pt idx="6">
                  <c:v>840</c:v>
                </c:pt>
                <c:pt idx="7">
                  <c:v>380</c:v>
                </c:pt>
                <c:pt idx="8">
                  <c:v>1310</c:v>
                </c:pt>
                <c:pt idx="9">
                  <c:v>3920</c:v>
                </c:pt>
                <c:pt idx="10">
                  <c:v>790</c:v>
                </c:pt>
                <c:pt idx="11">
                  <c:v>2350</c:v>
                </c:pt>
              </c:numCache>
            </c:numRef>
          </c:val>
          <c:extLst>
            <c:ext xmlns:c16="http://schemas.microsoft.com/office/drawing/2014/chart" uri="{C3380CC4-5D6E-409C-BE32-E72D297353CC}">
              <c16:uniqueId val="{00000018-1311-4B05-A9FC-C30668C7F3A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Tools Popularity.xlsx]KPI4!PivotTable1</c:name>
    <c:fmtId val="7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 Active Users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27777777777777779"/>
              <c:y val="-9.259259259259343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dLbl>
          <c:idx val="0"/>
          <c:showLegendKey val="0"/>
          <c:showVal val="0"/>
          <c:showCatName val="0"/>
          <c:showSerName val="0"/>
          <c:showPercent val="0"/>
          <c:showBubbleSize val="0"/>
          <c:extLst>
            <c:ext xmlns:c15="http://schemas.microsoft.com/office/drawing/2012/chart" uri="{CE6537A1-D6FC-4f65-9D91-7224C49458BB}"/>
          </c:extLst>
        </c:dLbl>
      </c:pivotFmt>
      <c:pivotFmt>
        <c:idx val="327"/>
        <c:dLbl>
          <c:idx val="0"/>
          <c:showLegendKey val="0"/>
          <c:showVal val="0"/>
          <c:showCatName val="0"/>
          <c:showSerName val="0"/>
          <c:showPercent val="0"/>
          <c:showBubbleSize val="0"/>
          <c:extLst>
            <c:ext xmlns:c15="http://schemas.microsoft.com/office/drawing/2012/chart" uri="{CE6537A1-D6FC-4f65-9D91-7224C49458BB}"/>
          </c:extLst>
        </c:dLbl>
      </c:pivotFmt>
      <c:pivotFmt>
        <c:idx val="328"/>
        <c:dLbl>
          <c:idx val="0"/>
          <c:showLegendKey val="0"/>
          <c:showVal val="0"/>
          <c:showCatName val="0"/>
          <c:showSerName val="0"/>
          <c:showPercent val="0"/>
          <c:showBubbleSize val="0"/>
          <c:extLst>
            <c:ext xmlns:c15="http://schemas.microsoft.com/office/drawing/2012/chart" uri="{CE6537A1-D6FC-4f65-9D91-7224C49458BB}"/>
          </c:extLst>
        </c:dLbl>
      </c:pivotFmt>
      <c:pivotFmt>
        <c:idx val="329"/>
        <c:dLbl>
          <c:idx val="0"/>
          <c:showLegendKey val="0"/>
          <c:showVal val="0"/>
          <c:showCatName val="0"/>
          <c:showSerName val="0"/>
          <c:showPercent val="0"/>
          <c:showBubbleSize val="0"/>
          <c:extLst>
            <c:ext xmlns:c15="http://schemas.microsoft.com/office/drawing/2012/chart" uri="{CE6537A1-D6FC-4f65-9D91-7224C49458BB}"/>
          </c:extLst>
        </c:dLbl>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dLbl>
          <c:idx val="0"/>
          <c:showLegendKey val="0"/>
          <c:showVal val="0"/>
          <c:showCatName val="0"/>
          <c:showSerName val="0"/>
          <c:showPercent val="0"/>
          <c:showBubbleSize val="0"/>
          <c:extLst>
            <c:ext xmlns:c15="http://schemas.microsoft.com/office/drawing/2012/chart" uri="{CE6537A1-D6FC-4f65-9D91-7224C49458BB}"/>
          </c:extLst>
        </c:dLbl>
      </c:pivotFmt>
      <c:pivotFmt>
        <c:idx val="332"/>
        <c:dLbl>
          <c:idx val="0"/>
          <c:showLegendKey val="0"/>
          <c:showVal val="0"/>
          <c:showCatName val="0"/>
          <c:showSerName val="0"/>
          <c:showPercent val="0"/>
          <c:showBubbleSize val="0"/>
          <c:extLst>
            <c:ext xmlns:c15="http://schemas.microsoft.com/office/drawing/2012/chart" uri="{CE6537A1-D6FC-4f65-9D91-7224C49458BB}"/>
          </c:extLst>
        </c:dLbl>
      </c:pivotFmt>
      <c:pivotFmt>
        <c:idx val="333"/>
        <c:dLbl>
          <c:idx val="0"/>
          <c:showLegendKey val="0"/>
          <c:showVal val="0"/>
          <c:showCatName val="0"/>
          <c:showSerName val="0"/>
          <c:showPercent val="0"/>
          <c:showBubbleSize val="0"/>
          <c:extLst>
            <c:ext xmlns:c15="http://schemas.microsoft.com/office/drawing/2012/chart" uri="{CE6537A1-D6FC-4f65-9D91-7224C49458BB}"/>
          </c:extLst>
        </c:dLbl>
      </c:pivotFmt>
      <c:pivotFmt>
        <c:idx val="334"/>
        <c:dLbl>
          <c:idx val="0"/>
          <c:showLegendKey val="0"/>
          <c:showVal val="0"/>
          <c:showCatName val="0"/>
          <c:showSerName val="0"/>
          <c:showPercent val="0"/>
          <c:showBubbleSize val="0"/>
          <c:extLst>
            <c:ext xmlns:c15="http://schemas.microsoft.com/office/drawing/2012/chart" uri="{CE6537A1-D6FC-4f65-9D91-7224C49458BB}"/>
          </c:extLst>
        </c:dLbl>
      </c:pivotFmt>
      <c:pivotFmt>
        <c:idx val="335"/>
        <c:dLbl>
          <c:idx val="0"/>
          <c:showLegendKey val="0"/>
          <c:showVal val="0"/>
          <c:showCatName val="0"/>
          <c:showSerName val="0"/>
          <c:showPercent val="0"/>
          <c:showBubbleSize val="0"/>
          <c:extLst>
            <c:ext xmlns:c15="http://schemas.microsoft.com/office/drawing/2012/chart" uri="{CE6537A1-D6FC-4f65-9D91-7224C49458BB}"/>
          </c:extLst>
        </c:dLbl>
      </c:pivotFmt>
      <c:pivotFmt>
        <c:idx val="336"/>
        <c:dLbl>
          <c:idx val="0"/>
          <c:showLegendKey val="0"/>
          <c:showVal val="0"/>
          <c:showCatName val="0"/>
          <c:showSerName val="0"/>
          <c:showPercent val="0"/>
          <c:showBubbleSize val="0"/>
          <c:extLst>
            <c:ext xmlns:c15="http://schemas.microsoft.com/office/drawing/2012/chart" uri="{CE6537A1-D6FC-4f65-9D91-7224C49458BB}"/>
          </c:extLst>
        </c:dLbl>
      </c:pivotFmt>
      <c:pivotFmt>
        <c:idx val="337"/>
        <c:dLbl>
          <c:idx val="0"/>
          <c:showLegendKey val="0"/>
          <c:showVal val="0"/>
          <c:showCatName val="0"/>
          <c:showSerName val="0"/>
          <c:showPercent val="0"/>
          <c:showBubbleSize val="0"/>
          <c:extLst>
            <c:ext xmlns:c15="http://schemas.microsoft.com/office/drawing/2012/chart" uri="{CE6537A1-D6FC-4f65-9D91-7224C49458BB}"/>
          </c:extLst>
        </c:dLbl>
      </c:pivotFmt>
      <c:pivotFmt>
        <c:idx val="338"/>
        <c:dLbl>
          <c:idx val="0"/>
          <c:showLegendKey val="0"/>
          <c:showVal val="0"/>
          <c:showCatName val="0"/>
          <c:showSerName val="0"/>
          <c:showPercent val="0"/>
          <c:showBubbleSize val="0"/>
          <c:extLst>
            <c:ext xmlns:c15="http://schemas.microsoft.com/office/drawing/2012/chart" uri="{CE6537A1-D6FC-4f65-9D91-7224C49458BB}"/>
          </c:extLst>
        </c:dLbl>
      </c:pivotFmt>
      <c:pivotFmt>
        <c:idx val="339"/>
        <c:dLbl>
          <c:idx val="0"/>
          <c:showLegendKey val="0"/>
          <c:showVal val="0"/>
          <c:showCatName val="0"/>
          <c:showSerName val="0"/>
          <c:showPercent val="0"/>
          <c:showBubbleSize val="0"/>
          <c:extLst>
            <c:ext xmlns:c15="http://schemas.microsoft.com/office/drawing/2012/chart" uri="{CE6537A1-D6FC-4f65-9D91-7224C49458BB}"/>
          </c:extLst>
        </c:dLbl>
      </c:pivotFmt>
      <c:pivotFmt>
        <c:idx val="340"/>
        <c:dLbl>
          <c:idx val="0"/>
          <c:showLegendKey val="0"/>
          <c:showVal val="0"/>
          <c:showCatName val="0"/>
          <c:showSerName val="0"/>
          <c:showPercent val="0"/>
          <c:showBubbleSize val="0"/>
          <c:extLst>
            <c:ext xmlns:c15="http://schemas.microsoft.com/office/drawing/2012/chart" uri="{CE6537A1-D6FC-4f65-9D91-7224C49458BB}"/>
          </c:extLst>
        </c:dLbl>
      </c:pivotFmt>
      <c:pivotFmt>
        <c:idx val="341"/>
        <c:dLbl>
          <c:idx val="0"/>
          <c:showLegendKey val="0"/>
          <c:showVal val="0"/>
          <c:showCatName val="0"/>
          <c:showSerName val="0"/>
          <c:showPercent val="0"/>
          <c:showBubbleSize val="0"/>
          <c:extLst>
            <c:ext xmlns:c15="http://schemas.microsoft.com/office/drawing/2012/chart" uri="{CE6537A1-D6FC-4f65-9D91-7224C49458BB}"/>
          </c:extLst>
        </c:dLbl>
      </c:pivotFmt>
      <c:pivotFmt>
        <c:idx val="342"/>
        <c:dLbl>
          <c:idx val="0"/>
          <c:showLegendKey val="0"/>
          <c:showVal val="0"/>
          <c:showCatName val="0"/>
          <c:showSerName val="0"/>
          <c:showPercent val="0"/>
          <c:showBubbleSize val="0"/>
          <c:extLst>
            <c:ext xmlns:c15="http://schemas.microsoft.com/office/drawing/2012/chart" uri="{CE6537A1-D6FC-4f65-9D91-7224C49458BB}"/>
          </c:extLst>
        </c:dLbl>
      </c:pivotFmt>
      <c:pivotFmt>
        <c:idx val="343"/>
        <c:dLbl>
          <c:idx val="0"/>
          <c:showLegendKey val="0"/>
          <c:showVal val="0"/>
          <c:showCatName val="0"/>
          <c:showSerName val="0"/>
          <c:showPercent val="0"/>
          <c:showBubbleSize val="0"/>
          <c:extLst>
            <c:ext xmlns:c15="http://schemas.microsoft.com/office/drawing/2012/chart" uri="{CE6537A1-D6FC-4f65-9D91-7224C49458BB}"/>
          </c:extLst>
        </c:dLbl>
      </c:pivotFmt>
      <c:pivotFmt>
        <c:idx val="344"/>
        <c:dLbl>
          <c:idx val="0"/>
          <c:showLegendKey val="0"/>
          <c:showVal val="0"/>
          <c:showCatName val="0"/>
          <c:showSerName val="0"/>
          <c:showPercent val="0"/>
          <c:showBubbleSize val="0"/>
          <c:extLst>
            <c:ext xmlns:c15="http://schemas.microsoft.com/office/drawing/2012/chart" uri="{CE6537A1-D6FC-4f65-9D91-7224C49458BB}"/>
          </c:extLst>
        </c:dLbl>
      </c:pivotFmt>
      <c:pivotFmt>
        <c:idx val="345"/>
        <c:dLbl>
          <c:idx val="0"/>
          <c:showLegendKey val="0"/>
          <c:showVal val="0"/>
          <c:showCatName val="0"/>
          <c:showSerName val="0"/>
          <c:showPercent val="0"/>
          <c:showBubbleSize val="0"/>
          <c:extLst>
            <c:ext xmlns:c15="http://schemas.microsoft.com/office/drawing/2012/chart" uri="{CE6537A1-D6FC-4f65-9D91-7224C49458BB}"/>
          </c:extLst>
        </c:dLbl>
      </c:pivotFmt>
      <c:pivotFmt>
        <c:idx val="346"/>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ymbol val="circle"/>
          <c:size val="5"/>
          <c:spPr>
            <a:solidFill>
              <a:schemeClr val="accent6">
                <a:lumMod val="80000"/>
              </a:schemeClr>
            </a:solidFill>
            <a:ln w="76200">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w="28575" cap="rnd">
            <a:solidFill>
              <a:schemeClr val="accent1"/>
            </a:solidFill>
            <a:round/>
          </a:ln>
          <a:effectLst/>
        </c:spPr>
        <c:marker>
          <c:symbol val="circle"/>
          <c:size val="5"/>
          <c:spPr>
            <a:solidFill>
              <a:schemeClr val="accent6">
                <a:lumMod val="80000"/>
              </a:schemeClr>
            </a:solidFill>
            <a:ln w="76200">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'KPI4'!$B$3:$B$5</c:f>
              <c:strCache>
                <c:ptCount val="1"/>
                <c:pt idx="0">
                  <c:v>Jan - Sum of Social Mentions</c:v>
                </c:pt>
              </c:strCache>
            </c:strRef>
          </c:tx>
          <c:spPr>
            <a:solidFill>
              <a:schemeClr val="accent1"/>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'KPI4'!$B$6:$B$26</c:f>
              <c:numCache>
                <c:formatCode>General</c:formatCode>
                <c:ptCount val="20"/>
                <c:pt idx="0">
                  <c:v>355636</c:v>
                </c:pt>
                <c:pt idx="1">
                  <c:v>320110</c:v>
                </c:pt>
                <c:pt idx="2">
                  <c:v>374802</c:v>
                </c:pt>
                <c:pt idx="3">
                  <c:v>889257</c:v>
                </c:pt>
                <c:pt idx="4">
                  <c:v>874314</c:v>
                </c:pt>
                <c:pt idx="5">
                  <c:v>749413</c:v>
                </c:pt>
                <c:pt idx="6">
                  <c:v>547001</c:v>
                </c:pt>
                <c:pt idx="7">
                  <c:v>540288</c:v>
                </c:pt>
                <c:pt idx="8">
                  <c:v>688397</c:v>
                </c:pt>
                <c:pt idx="9">
                  <c:v>526829</c:v>
                </c:pt>
                <c:pt idx="10">
                  <c:v>445457</c:v>
                </c:pt>
                <c:pt idx="11">
                  <c:v>793349</c:v>
                </c:pt>
                <c:pt idx="12">
                  <c:v>212074</c:v>
                </c:pt>
                <c:pt idx="13">
                  <c:v>416041</c:v>
                </c:pt>
                <c:pt idx="14">
                  <c:v>831852</c:v>
                </c:pt>
                <c:pt idx="15">
                  <c:v>195179</c:v>
                </c:pt>
                <c:pt idx="16">
                  <c:v>538254</c:v>
                </c:pt>
                <c:pt idx="17">
                  <c:v>887396</c:v>
                </c:pt>
                <c:pt idx="18">
                  <c:v>780736</c:v>
                </c:pt>
                <c:pt idx="19">
                  <c:v>767798</c:v>
                </c:pt>
              </c:numCache>
            </c:numRef>
          </c:val>
          <c:extLst>
            <c:ext xmlns:c16="http://schemas.microsoft.com/office/drawing/2014/chart" uri="{C3380CC4-5D6E-409C-BE32-E72D297353CC}">
              <c16:uniqueId val="{00000000-1F38-4FB2-8172-5C8B0A05BF69}"/>
            </c:ext>
          </c:extLst>
        </c:ser>
        <c:ser>
          <c:idx val="1"/>
          <c:order val="1"/>
          <c:tx>
            <c:strRef>
              <c:f>'KPI4'!$C$3:$C$5</c:f>
              <c:strCache>
                <c:ptCount val="1"/>
                <c:pt idx="0">
                  <c:v>Jan - Sum of Website Visits (Millions)</c:v>
                </c:pt>
              </c:strCache>
            </c:strRef>
          </c:tx>
          <c:spPr>
            <a:solidFill>
              <a:schemeClr val="accent2"/>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'KPI4'!$C$6:$C$26</c:f>
              <c:numCache>
                <c:formatCode>General</c:formatCode>
                <c:ptCount val="20"/>
                <c:pt idx="0">
                  <c:v>149</c:v>
                </c:pt>
                <c:pt idx="1">
                  <c:v>33</c:v>
                </c:pt>
                <c:pt idx="2">
                  <c:v>155</c:v>
                </c:pt>
                <c:pt idx="3">
                  <c:v>237</c:v>
                </c:pt>
                <c:pt idx="4">
                  <c:v>34</c:v>
                </c:pt>
                <c:pt idx="5">
                  <c:v>136</c:v>
                </c:pt>
                <c:pt idx="6">
                  <c:v>153</c:v>
                </c:pt>
                <c:pt idx="7">
                  <c:v>51</c:v>
                </c:pt>
                <c:pt idx="8">
                  <c:v>135</c:v>
                </c:pt>
                <c:pt idx="9">
                  <c:v>175</c:v>
                </c:pt>
                <c:pt idx="10">
                  <c:v>66</c:v>
                </c:pt>
                <c:pt idx="11">
                  <c:v>102</c:v>
                </c:pt>
                <c:pt idx="12">
                  <c:v>66</c:v>
                </c:pt>
                <c:pt idx="13">
                  <c:v>195</c:v>
                </c:pt>
                <c:pt idx="14">
                  <c:v>156</c:v>
                </c:pt>
                <c:pt idx="15">
                  <c:v>114</c:v>
                </c:pt>
                <c:pt idx="16">
                  <c:v>168</c:v>
                </c:pt>
                <c:pt idx="17">
                  <c:v>165</c:v>
                </c:pt>
                <c:pt idx="18">
                  <c:v>129</c:v>
                </c:pt>
                <c:pt idx="19">
                  <c:v>74</c:v>
                </c:pt>
              </c:numCache>
            </c:numRef>
          </c:val>
          <c:extLst>
            <c:ext xmlns:c16="http://schemas.microsoft.com/office/drawing/2014/chart" uri="{C3380CC4-5D6E-409C-BE32-E72D297353CC}">
              <c16:uniqueId val="{0000000C-1F38-4FB2-8172-5C8B0A05BF69}"/>
            </c:ext>
          </c:extLst>
        </c:ser>
        <c:ser>
          <c:idx val="2"/>
          <c:order val="2"/>
          <c:tx>
            <c:strRef>
              <c:f>'KPI4'!$D$3:$D$5</c:f>
              <c:strCache>
                <c:ptCount val="1"/>
                <c:pt idx="0">
                  <c:v>Feb - Sum of Social Mentions</c:v>
                </c:pt>
              </c:strCache>
            </c:strRef>
          </c:tx>
          <c:spPr>
            <a:solidFill>
              <a:schemeClr val="accent3"/>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'KPI4'!$D$6:$D$26</c:f>
              <c:numCache>
                <c:formatCode>General</c:formatCode>
                <c:ptCount val="20"/>
                <c:pt idx="0">
                  <c:v>596750</c:v>
                </c:pt>
                <c:pt idx="1">
                  <c:v>832639</c:v>
                </c:pt>
                <c:pt idx="2">
                  <c:v>787041</c:v>
                </c:pt>
                <c:pt idx="3">
                  <c:v>388840</c:v>
                </c:pt>
                <c:pt idx="4">
                  <c:v>411124</c:v>
                </c:pt>
                <c:pt idx="5">
                  <c:v>537939</c:v>
                </c:pt>
                <c:pt idx="6">
                  <c:v>538538</c:v>
                </c:pt>
                <c:pt idx="7">
                  <c:v>362106</c:v>
                </c:pt>
                <c:pt idx="8">
                  <c:v>491344</c:v>
                </c:pt>
                <c:pt idx="9">
                  <c:v>289554</c:v>
                </c:pt>
                <c:pt idx="10">
                  <c:v>602110</c:v>
                </c:pt>
                <c:pt idx="11">
                  <c:v>504803</c:v>
                </c:pt>
                <c:pt idx="12">
                  <c:v>425731</c:v>
                </c:pt>
                <c:pt idx="13">
                  <c:v>863853</c:v>
                </c:pt>
                <c:pt idx="14">
                  <c:v>483220</c:v>
                </c:pt>
                <c:pt idx="15">
                  <c:v>752051</c:v>
                </c:pt>
                <c:pt idx="16">
                  <c:v>361786</c:v>
                </c:pt>
                <c:pt idx="17">
                  <c:v>150734</c:v>
                </c:pt>
                <c:pt idx="18">
                  <c:v>611560</c:v>
                </c:pt>
                <c:pt idx="19">
                  <c:v>335133</c:v>
                </c:pt>
              </c:numCache>
            </c:numRef>
          </c:val>
          <c:extLst>
            <c:ext xmlns:c16="http://schemas.microsoft.com/office/drawing/2014/chart" uri="{C3380CC4-5D6E-409C-BE32-E72D297353CC}">
              <c16:uniqueId val="{00000001-74CC-492A-A4A5-AE1B732CE4FF}"/>
            </c:ext>
          </c:extLst>
        </c:ser>
        <c:ser>
          <c:idx val="3"/>
          <c:order val="3"/>
          <c:tx>
            <c:strRef>
              <c:f>'KPI4'!$E$3:$E$5</c:f>
              <c:strCache>
                <c:ptCount val="1"/>
                <c:pt idx="0">
                  <c:v>Feb - Sum of Website Visits (Millions)</c:v>
                </c:pt>
              </c:strCache>
            </c:strRef>
          </c:tx>
          <c:spPr>
            <a:solidFill>
              <a:schemeClr val="accent4"/>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'KPI4'!$E$6:$E$26</c:f>
              <c:numCache>
                <c:formatCode>General</c:formatCode>
                <c:ptCount val="20"/>
                <c:pt idx="0">
                  <c:v>129</c:v>
                </c:pt>
                <c:pt idx="1">
                  <c:v>68</c:v>
                </c:pt>
                <c:pt idx="2">
                  <c:v>101</c:v>
                </c:pt>
                <c:pt idx="3">
                  <c:v>112</c:v>
                </c:pt>
                <c:pt idx="4">
                  <c:v>119</c:v>
                </c:pt>
                <c:pt idx="5">
                  <c:v>246</c:v>
                </c:pt>
                <c:pt idx="6">
                  <c:v>208</c:v>
                </c:pt>
                <c:pt idx="7">
                  <c:v>72</c:v>
                </c:pt>
                <c:pt idx="8">
                  <c:v>59</c:v>
                </c:pt>
                <c:pt idx="9">
                  <c:v>187</c:v>
                </c:pt>
                <c:pt idx="10">
                  <c:v>116</c:v>
                </c:pt>
                <c:pt idx="11">
                  <c:v>239</c:v>
                </c:pt>
                <c:pt idx="12">
                  <c:v>228</c:v>
                </c:pt>
                <c:pt idx="13">
                  <c:v>228</c:v>
                </c:pt>
                <c:pt idx="14">
                  <c:v>213</c:v>
                </c:pt>
                <c:pt idx="15">
                  <c:v>170</c:v>
                </c:pt>
                <c:pt idx="16">
                  <c:v>89</c:v>
                </c:pt>
                <c:pt idx="17">
                  <c:v>241</c:v>
                </c:pt>
                <c:pt idx="18">
                  <c:v>147</c:v>
                </c:pt>
                <c:pt idx="19">
                  <c:v>22</c:v>
                </c:pt>
              </c:numCache>
            </c:numRef>
          </c:val>
          <c:extLst>
            <c:ext xmlns:c16="http://schemas.microsoft.com/office/drawing/2014/chart" uri="{C3380CC4-5D6E-409C-BE32-E72D297353CC}">
              <c16:uniqueId val="{00000002-74CC-492A-A4A5-AE1B732CE4FF}"/>
            </c:ext>
          </c:extLst>
        </c:ser>
        <c:ser>
          <c:idx val="4"/>
          <c:order val="4"/>
          <c:tx>
            <c:strRef>
              <c:f>'KPI4'!$F$3:$F$5</c:f>
              <c:strCache>
                <c:ptCount val="1"/>
                <c:pt idx="0">
                  <c:v>Mar - Sum of Social Mentions</c:v>
                </c:pt>
              </c:strCache>
            </c:strRef>
          </c:tx>
          <c:spPr>
            <a:solidFill>
              <a:schemeClr val="accent5"/>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'KPI4'!$F$6:$F$26</c:f>
              <c:numCache>
                <c:formatCode>General</c:formatCode>
                <c:ptCount val="20"/>
                <c:pt idx="0">
                  <c:v>617387</c:v>
                </c:pt>
                <c:pt idx="1">
                  <c:v>634860</c:v>
                </c:pt>
                <c:pt idx="2">
                  <c:v>783196</c:v>
                </c:pt>
                <c:pt idx="3">
                  <c:v>592209</c:v>
                </c:pt>
                <c:pt idx="4">
                  <c:v>235358</c:v>
                </c:pt>
                <c:pt idx="5">
                  <c:v>740081</c:v>
                </c:pt>
                <c:pt idx="6">
                  <c:v>476468</c:v>
                </c:pt>
                <c:pt idx="7">
                  <c:v>125933</c:v>
                </c:pt>
                <c:pt idx="8">
                  <c:v>501017</c:v>
                </c:pt>
                <c:pt idx="9">
                  <c:v>289873</c:v>
                </c:pt>
                <c:pt idx="10">
                  <c:v>181497</c:v>
                </c:pt>
                <c:pt idx="11">
                  <c:v>475967</c:v>
                </c:pt>
                <c:pt idx="12">
                  <c:v>612490</c:v>
                </c:pt>
                <c:pt idx="13">
                  <c:v>305169</c:v>
                </c:pt>
                <c:pt idx="14">
                  <c:v>155358</c:v>
                </c:pt>
                <c:pt idx="15">
                  <c:v>726748</c:v>
                </c:pt>
                <c:pt idx="16">
                  <c:v>514043</c:v>
                </c:pt>
                <c:pt idx="17">
                  <c:v>138558</c:v>
                </c:pt>
                <c:pt idx="18">
                  <c:v>229552</c:v>
                </c:pt>
                <c:pt idx="19">
                  <c:v>275329</c:v>
                </c:pt>
              </c:numCache>
            </c:numRef>
          </c:val>
          <c:extLst>
            <c:ext xmlns:c16="http://schemas.microsoft.com/office/drawing/2014/chart" uri="{C3380CC4-5D6E-409C-BE32-E72D297353CC}">
              <c16:uniqueId val="{00000003-74CC-492A-A4A5-AE1B732CE4FF}"/>
            </c:ext>
          </c:extLst>
        </c:ser>
        <c:ser>
          <c:idx val="5"/>
          <c:order val="5"/>
          <c:tx>
            <c:strRef>
              <c:f>'KPI4'!$G$3:$G$5</c:f>
              <c:strCache>
                <c:ptCount val="1"/>
                <c:pt idx="0">
                  <c:v>Mar - Sum of Website Visits (Millions)</c:v>
                </c:pt>
              </c:strCache>
            </c:strRef>
          </c:tx>
          <c:spPr>
            <a:solidFill>
              <a:schemeClr val="accent6"/>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'KPI4'!$G$6:$G$26</c:f>
              <c:numCache>
                <c:formatCode>General</c:formatCode>
                <c:ptCount val="20"/>
                <c:pt idx="0">
                  <c:v>59</c:v>
                </c:pt>
                <c:pt idx="1">
                  <c:v>100</c:v>
                </c:pt>
                <c:pt idx="2">
                  <c:v>194</c:v>
                </c:pt>
                <c:pt idx="3">
                  <c:v>67</c:v>
                </c:pt>
                <c:pt idx="4">
                  <c:v>184</c:v>
                </c:pt>
                <c:pt idx="5">
                  <c:v>170</c:v>
                </c:pt>
                <c:pt idx="6">
                  <c:v>245</c:v>
                </c:pt>
                <c:pt idx="7">
                  <c:v>104</c:v>
                </c:pt>
                <c:pt idx="8">
                  <c:v>127</c:v>
                </c:pt>
                <c:pt idx="9">
                  <c:v>152</c:v>
                </c:pt>
                <c:pt idx="10">
                  <c:v>115</c:v>
                </c:pt>
                <c:pt idx="11">
                  <c:v>212</c:v>
                </c:pt>
                <c:pt idx="12">
                  <c:v>209</c:v>
                </c:pt>
                <c:pt idx="13">
                  <c:v>220</c:v>
                </c:pt>
                <c:pt idx="14">
                  <c:v>37</c:v>
                </c:pt>
                <c:pt idx="15">
                  <c:v>249</c:v>
                </c:pt>
                <c:pt idx="16">
                  <c:v>202</c:v>
                </c:pt>
                <c:pt idx="17">
                  <c:v>86</c:v>
                </c:pt>
                <c:pt idx="18">
                  <c:v>121</c:v>
                </c:pt>
                <c:pt idx="19">
                  <c:v>56</c:v>
                </c:pt>
              </c:numCache>
            </c:numRef>
          </c:val>
          <c:extLst>
            <c:ext xmlns:c16="http://schemas.microsoft.com/office/drawing/2014/chart" uri="{C3380CC4-5D6E-409C-BE32-E72D297353CC}">
              <c16:uniqueId val="{00000004-74CC-492A-A4A5-AE1B732CE4FF}"/>
            </c:ext>
          </c:extLst>
        </c:ser>
        <c:ser>
          <c:idx val="6"/>
          <c:order val="6"/>
          <c:tx>
            <c:strRef>
              <c:f>'KPI4'!$H$3:$H$5</c:f>
              <c:strCache>
                <c:ptCount val="1"/>
                <c:pt idx="0">
                  <c:v>Apr - Sum of Social Mentions</c:v>
                </c:pt>
              </c:strCache>
            </c:strRef>
          </c:tx>
          <c:spPr>
            <a:solidFill>
              <a:schemeClr val="accent1">
                <a:lumMod val="6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'KPI4'!$H$6:$H$26</c:f>
              <c:numCache>
                <c:formatCode>General</c:formatCode>
                <c:ptCount val="20"/>
                <c:pt idx="0">
                  <c:v>319802</c:v>
                </c:pt>
                <c:pt idx="1">
                  <c:v>319671</c:v>
                </c:pt>
                <c:pt idx="2">
                  <c:v>621672</c:v>
                </c:pt>
                <c:pt idx="3">
                  <c:v>549291</c:v>
                </c:pt>
                <c:pt idx="4">
                  <c:v>237095</c:v>
                </c:pt>
                <c:pt idx="5">
                  <c:v>347068</c:v>
                </c:pt>
                <c:pt idx="6">
                  <c:v>680651</c:v>
                </c:pt>
                <c:pt idx="7">
                  <c:v>618202</c:v>
                </c:pt>
                <c:pt idx="8">
                  <c:v>461469</c:v>
                </c:pt>
                <c:pt idx="9">
                  <c:v>443454</c:v>
                </c:pt>
                <c:pt idx="10">
                  <c:v>440810</c:v>
                </c:pt>
                <c:pt idx="11">
                  <c:v>376758</c:v>
                </c:pt>
                <c:pt idx="12">
                  <c:v>498353</c:v>
                </c:pt>
                <c:pt idx="13">
                  <c:v>181578</c:v>
                </c:pt>
                <c:pt idx="14">
                  <c:v>368455</c:v>
                </c:pt>
                <c:pt idx="15">
                  <c:v>854833</c:v>
                </c:pt>
                <c:pt idx="16">
                  <c:v>247594</c:v>
                </c:pt>
                <c:pt idx="17">
                  <c:v>502758</c:v>
                </c:pt>
                <c:pt idx="18">
                  <c:v>216426</c:v>
                </c:pt>
                <c:pt idx="19">
                  <c:v>877246</c:v>
                </c:pt>
              </c:numCache>
            </c:numRef>
          </c:val>
          <c:extLst>
            <c:ext xmlns:c16="http://schemas.microsoft.com/office/drawing/2014/chart" uri="{C3380CC4-5D6E-409C-BE32-E72D297353CC}">
              <c16:uniqueId val="{00000005-74CC-492A-A4A5-AE1B732CE4FF}"/>
            </c:ext>
          </c:extLst>
        </c:ser>
        <c:ser>
          <c:idx val="7"/>
          <c:order val="7"/>
          <c:tx>
            <c:strRef>
              <c:f>'KPI4'!$I$3:$I$5</c:f>
              <c:strCache>
                <c:ptCount val="1"/>
                <c:pt idx="0">
                  <c:v>Apr - Sum of Website Visits (Millions)</c:v>
                </c:pt>
              </c:strCache>
            </c:strRef>
          </c:tx>
          <c:spPr>
            <a:solidFill>
              <a:schemeClr val="accent2">
                <a:lumMod val="6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'KPI4'!$I$6:$I$26</c:f>
              <c:numCache>
                <c:formatCode>General</c:formatCode>
                <c:ptCount val="20"/>
                <c:pt idx="0">
                  <c:v>202</c:v>
                </c:pt>
                <c:pt idx="1">
                  <c:v>196</c:v>
                </c:pt>
                <c:pt idx="2">
                  <c:v>63</c:v>
                </c:pt>
                <c:pt idx="3">
                  <c:v>90</c:v>
                </c:pt>
                <c:pt idx="4">
                  <c:v>176</c:v>
                </c:pt>
                <c:pt idx="5">
                  <c:v>159</c:v>
                </c:pt>
                <c:pt idx="6">
                  <c:v>32</c:v>
                </c:pt>
                <c:pt idx="7">
                  <c:v>230</c:v>
                </c:pt>
                <c:pt idx="8">
                  <c:v>113</c:v>
                </c:pt>
                <c:pt idx="9">
                  <c:v>192</c:v>
                </c:pt>
                <c:pt idx="10">
                  <c:v>242</c:v>
                </c:pt>
                <c:pt idx="11">
                  <c:v>155</c:v>
                </c:pt>
                <c:pt idx="12">
                  <c:v>132</c:v>
                </c:pt>
                <c:pt idx="13">
                  <c:v>233</c:v>
                </c:pt>
                <c:pt idx="14">
                  <c:v>144</c:v>
                </c:pt>
                <c:pt idx="15">
                  <c:v>140</c:v>
                </c:pt>
                <c:pt idx="16">
                  <c:v>109</c:v>
                </c:pt>
                <c:pt idx="17">
                  <c:v>177</c:v>
                </c:pt>
                <c:pt idx="18">
                  <c:v>105</c:v>
                </c:pt>
                <c:pt idx="19">
                  <c:v>116</c:v>
                </c:pt>
              </c:numCache>
            </c:numRef>
          </c:val>
          <c:extLst>
            <c:ext xmlns:c16="http://schemas.microsoft.com/office/drawing/2014/chart" uri="{C3380CC4-5D6E-409C-BE32-E72D297353CC}">
              <c16:uniqueId val="{00000006-74CC-492A-A4A5-AE1B732CE4FF}"/>
            </c:ext>
          </c:extLst>
        </c:ser>
        <c:ser>
          <c:idx val="8"/>
          <c:order val="8"/>
          <c:tx>
            <c:strRef>
              <c:f>'KPI4'!$J$3:$J$5</c:f>
              <c:strCache>
                <c:ptCount val="1"/>
                <c:pt idx="0">
                  <c:v>May - Sum of Social Mentions</c:v>
                </c:pt>
              </c:strCache>
            </c:strRef>
          </c:tx>
          <c:spPr>
            <a:solidFill>
              <a:schemeClr val="accent3">
                <a:lumMod val="6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'KPI4'!$J$6:$J$26</c:f>
              <c:numCache>
                <c:formatCode>General</c:formatCode>
                <c:ptCount val="20"/>
                <c:pt idx="0">
                  <c:v>555620</c:v>
                </c:pt>
                <c:pt idx="1">
                  <c:v>503533</c:v>
                </c:pt>
                <c:pt idx="2">
                  <c:v>216285</c:v>
                </c:pt>
                <c:pt idx="3">
                  <c:v>711552</c:v>
                </c:pt>
                <c:pt idx="4">
                  <c:v>573908</c:v>
                </c:pt>
                <c:pt idx="5">
                  <c:v>565564</c:v>
                </c:pt>
                <c:pt idx="6">
                  <c:v>351329</c:v>
                </c:pt>
                <c:pt idx="7">
                  <c:v>439664</c:v>
                </c:pt>
                <c:pt idx="8">
                  <c:v>545114</c:v>
                </c:pt>
                <c:pt idx="9">
                  <c:v>615302</c:v>
                </c:pt>
                <c:pt idx="10">
                  <c:v>639674</c:v>
                </c:pt>
                <c:pt idx="11">
                  <c:v>616243</c:v>
                </c:pt>
                <c:pt idx="12">
                  <c:v>534972</c:v>
                </c:pt>
                <c:pt idx="13">
                  <c:v>428787</c:v>
                </c:pt>
                <c:pt idx="14">
                  <c:v>833677</c:v>
                </c:pt>
                <c:pt idx="15">
                  <c:v>596570</c:v>
                </c:pt>
                <c:pt idx="16">
                  <c:v>103978</c:v>
                </c:pt>
                <c:pt idx="17">
                  <c:v>314163</c:v>
                </c:pt>
                <c:pt idx="18">
                  <c:v>673407</c:v>
                </c:pt>
                <c:pt idx="19">
                  <c:v>348533</c:v>
                </c:pt>
              </c:numCache>
            </c:numRef>
          </c:val>
          <c:extLst>
            <c:ext xmlns:c16="http://schemas.microsoft.com/office/drawing/2014/chart" uri="{C3380CC4-5D6E-409C-BE32-E72D297353CC}">
              <c16:uniqueId val="{00000007-74CC-492A-A4A5-AE1B732CE4FF}"/>
            </c:ext>
          </c:extLst>
        </c:ser>
        <c:ser>
          <c:idx val="9"/>
          <c:order val="9"/>
          <c:tx>
            <c:strRef>
              <c:f>'KPI4'!$K$3:$K$5</c:f>
              <c:strCache>
                <c:ptCount val="1"/>
                <c:pt idx="0">
                  <c:v>May - Sum of Website Visits (Millions)</c:v>
                </c:pt>
              </c:strCache>
            </c:strRef>
          </c:tx>
          <c:spPr>
            <a:solidFill>
              <a:schemeClr val="accent4">
                <a:lumMod val="6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'KPI4'!$K$6:$K$26</c:f>
              <c:numCache>
                <c:formatCode>General</c:formatCode>
                <c:ptCount val="20"/>
                <c:pt idx="0">
                  <c:v>243</c:v>
                </c:pt>
                <c:pt idx="1">
                  <c:v>177</c:v>
                </c:pt>
                <c:pt idx="2">
                  <c:v>215</c:v>
                </c:pt>
                <c:pt idx="3">
                  <c:v>67</c:v>
                </c:pt>
                <c:pt idx="4">
                  <c:v>187</c:v>
                </c:pt>
                <c:pt idx="5">
                  <c:v>31</c:v>
                </c:pt>
                <c:pt idx="6">
                  <c:v>214</c:v>
                </c:pt>
                <c:pt idx="7">
                  <c:v>97</c:v>
                </c:pt>
                <c:pt idx="8">
                  <c:v>202</c:v>
                </c:pt>
                <c:pt idx="9">
                  <c:v>201</c:v>
                </c:pt>
                <c:pt idx="10">
                  <c:v>235</c:v>
                </c:pt>
                <c:pt idx="11">
                  <c:v>213</c:v>
                </c:pt>
                <c:pt idx="12">
                  <c:v>141</c:v>
                </c:pt>
                <c:pt idx="13">
                  <c:v>196</c:v>
                </c:pt>
                <c:pt idx="14">
                  <c:v>130</c:v>
                </c:pt>
                <c:pt idx="15">
                  <c:v>56</c:v>
                </c:pt>
                <c:pt idx="16">
                  <c:v>225</c:v>
                </c:pt>
                <c:pt idx="17">
                  <c:v>113</c:v>
                </c:pt>
                <c:pt idx="18">
                  <c:v>176</c:v>
                </c:pt>
                <c:pt idx="19">
                  <c:v>171</c:v>
                </c:pt>
              </c:numCache>
            </c:numRef>
          </c:val>
          <c:extLst>
            <c:ext xmlns:c16="http://schemas.microsoft.com/office/drawing/2014/chart" uri="{C3380CC4-5D6E-409C-BE32-E72D297353CC}">
              <c16:uniqueId val="{00000008-74CC-492A-A4A5-AE1B732CE4FF}"/>
            </c:ext>
          </c:extLst>
        </c:ser>
        <c:ser>
          <c:idx val="10"/>
          <c:order val="10"/>
          <c:tx>
            <c:strRef>
              <c:f>'KPI4'!$L$3:$L$5</c:f>
              <c:strCache>
                <c:ptCount val="1"/>
                <c:pt idx="0">
                  <c:v>Jun - Sum of Social Mentions</c:v>
                </c:pt>
              </c:strCache>
            </c:strRef>
          </c:tx>
          <c:spPr>
            <a:solidFill>
              <a:schemeClr val="accent5">
                <a:lumMod val="6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'KPI4'!$L$6:$L$26</c:f>
              <c:numCache>
                <c:formatCode>General</c:formatCode>
                <c:ptCount val="20"/>
                <c:pt idx="0">
                  <c:v>196458</c:v>
                </c:pt>
                <c:pt idx="1">
                  <c:v>608658</c:v>
                </c:pt>
                <c:pt idx="2">
                  <c:v>587294</c:v>
                </c:pt>
                <c:pt idx="3">
                  <c:v>897754</c:v>
                </c:pt>
                <c:pt idx="4">
                  <c:v>514941</c:v>
                </c:pt>
                <c:pt idx="5">
                  <c:v>744731</c:v>
                </c:pt>
                <c:pt idx="6">
                  <c:v>586756</c:v>
                </c:pt>
                <c:pt idx="7">
                  <c:v>184752</c:v>
                </c:pt>
                <c:pt idx="8">
                  <c:v>100172</c:v>
                </c:pt>
                <c:pt idx="9">
                  <c:v>803857</c:v>
                </c:pt>
                <c:pt idx="10">
                  <c:v>828483</c:v>
                </c:pt>
                <c:pt idx="11">
                  <c:v>634739</c:v>
                </c:pt>
                <c:pt idx="12">
                  <c:v>726629</c:v>
                </c:pt>
                <c:pt idx="13">
                  <c:v>675797</c:v>
                </c:pt>
                <c:pt idx="14">
                  <c:v>515946</c:v>
                </c:pt>
                <c:pt idx="15">
                  <c:v>415222</c:v>
                </c:pt>
                <c:pt idx="16">
                  <c:v>154583</c:v>
                </c:pt>
                <c:pt idx="17">
                  <c:v>509277</c:v>
                </c:pt>
                <c:pt idx="18">
                  <c:v>307479</c:v>
                </c:pt>
                <c:pt idx="19">
                  <c:v>323288</c:v>
                </c:pt>
              </c:numCache>
            </c:numRef>
          </c:val>
          <c:extLst>
            <c:ext xmlns:c16="http://schemas.microsoft.com/office/drawing/2014/chart" uri="{C3380CC4-5D6E-409C-BE32-E72D297353CC}">
              <c16:uniqueId val="{00000000-C3C1-4D30-BE77-6D4A838B13BA}"/>
            </c:ext>
          </c:extLst>
        </c:ser>
        <c:ser>
          <c:idx val="11"/>
          <c:order val="11"/>
          <c:tx>
            <c:strRef>
              <c:f>'KPI4'!$M$3:$M$5</c:f>
              <c:strCache>
                <c:ptCount val="1"/>
                <c:pt idx="0">
                  <c:v>Jun - Sum of Website Visits (Millions)</c:v>
                </c:pt>
              </c:strCache>
            </c:strRef>
          </c:tx>
          <c:spPr>
            <a:solidFill>
              <a:schemeClr val="accent6">
                <a:lumMod val="6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'KPI4'!$M$6:$M$26</c:f>
              <c:numCache>
                <c:formatCode>General</c:formatCode>
                <c:ptCount val="20"/>
                <c:pt idx="0">
                  <c:v>90</c:v>
                </c:pt>
                <c:pt idx="1">
                  <c:v>246</c:v>
                </c:pt>
                <c:pt idx="2">
                  <c:v>137</c:v>
                </c:pt>
                <c:pt idx="3">
                  <c:v>153</c:v>
                </c:pt>
                <c:pt idx="4">
                  <c:v>214</c:v>
                </c:pt>
                <c:pt idx="5">
                  <c:v>131</c:v>
                </c:pt>
                <c:pt idx="6">
                  <c:v>52</c:v>
                </c:pt>
                <c:pt idx="7">
                  <c:v>105</c:v>
                </c:pt>
                <c:pt idx="8">
                  <c:v>32</c:v>
                </c:pt>
                <c:pt idx="9">
                  <c:v>21</c:v>
                </c:pt>
                <c:pt idx="10">
                  <c:v>228</c:v>
                </c:pt>
                <c:pt idx="11">
                  <c:v>137</c:v>
                </c:pt>
                <c:pt idx="12">
                  <c:v>115</c:v>
                </c:pt>
                <c:pt idx="13">
                  <c:v>56</c:v>
                </c:pt>
                <c:pt idx="14">
                  <c:v>51</c:v>
                </c:pt>
                <c:pt idx="15">
                  <c:v>39</c:v>
                </c:pt>
                <c:pt idx="16">
                  <c:v>197</c:v>
                </c:pt>
                <c:pt idx="17">
                  <c:v>128</c:v>
                </c:pt>
                <c:pt idx="18">
                  <c:v>208</c:v>
                </c:pt>
                <c:pt idx="19">
                  <c:v>53</c:v>
                </c:pt>
              </c:numCache>
            </c:numRef>
          </c:val>
          <c:extLst>
            <c:ext xmlns:c16="http://schemas.microsoft.com/office/drawing/2014/chart" uri="{C3380CC4-5D6E-409C-BE32-E72D297353CC}">
              <c16:uniqueId val="{00000001-C3C1-4D30-BE77-6D4A838B13BA}"/>
            </c:ext>
          </c:extLst>
        </c:ser>
        <c:ser>
          <c:idx val="12"/>
          <c:order val="12"/>
          <c:tx>
            <c:strRef>
              <c:f>'KPI4'!$N$3:$N$5</c:f>
              <c:strCache>
                <c:ptCount val="1"/>
                <c:pt idx="0">
                  <c:v>Jul - Sum of Social Mentions</c:v>
                </c:pt>
              </c:strCache>
            </c:strRef>
          </c:tx>
          <c:spPr>
            <a:solidFill>
              <a:schemeClr val="accent1">
                <a:lumMod val="80000"/>
                <a:lumOff val="2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'KPI4'!$N$6:$N$26</c:f>
              <c:numCache>
                <c:formatCode>General</c:formatCode>
                <c:ptCount val="20"/>
                <c:pt idx="0">
                  <c:v>880970</c:v>
                </c:pt>
                <c:pt idx="1">
                  <c:v>300114</c:v>
                </c:pt>
                <c:pt idx="2">
                  <c:v>503477</c:v>
                </c:pt>
                <c:pt idx="3">
                  <c:v>549188</c:v>
                </c:pt>
                <c:pt idx="4">
                  <c:v>163135</c:v>
                </c:pt>
                <c:pt idx="5">
                  <c:v>472761</c:v>
                </c:pt>
                <c:pt idx="6">
                  <c:v>698033</c:v>
                </c:pt>
                <c:pt idx="7">
                  <c:v>414492</c:v>
                </c:pt>
                <c:pt idx="8">
                  <c:v>719256</c:v>
                </c:pt>
                <c:pt idx="9">
                  <c:v>821784</c:v>
                </c:pt>
                <c:pt idx="10">
                  <c:v>492246</c:v>
                </c:pt>
                <c:pt idx="11">
                  <c:v>727574</c:v>
                </c:pt>
                <c:pt idx="12">
                  <c:v>471284</c:v>
                </c:pt>
                <c:pt idx="13">
                  <c:v>405412</c:v>
                </c:pt>
                <c:pt idx="14">
                  <c:v>112639</c:v>
                </c:pt>
                <c:pt idx="15">
                  <c:v>728929</c:v>
                </c:pt>
                <c:pt idx="16">
                  <c:v>355851</c:v>
                </c:pt>
                <c:pt idx="17">
                  <c:v>781275</c:v>
                </c:pt>
                <c:pt idx="18">
                  <c:v>653706</c:v>
                </c:pt>
                <c:pt idx="19">
                  <c:v>331126</c:v>
                </c:pt>
              </c:numCache>
            </c:numRef>
          </c:val>
          <c:extLst>
            <c:ext xmlns:c16="http://schemas.microsoft.com/office/drawing/2014/chart" uri="{C3380CC4-5D6E-409C-BE32-E72D297353CC}">
              <c16:uniqueId val="{00000002-C3C1-4D30-BE77-6D4A838B13BA}"/>
            </c:ext>
          </c:extLst>
        </c:ser>
        <c:ser>
          <c:idx val="13"/>
          <c:order val="13"/>
          <c:tx>
            <c:strRef>
              <c:f>'KPI4'!$O$3:$O$5</c:f>
              <c:strCache>
                <c:ptCount val="1"/>
                <c:pt idx="0">
                  <c:v>Jul - Sum of Website Visits (Millions)</c:v>
                </c:pt>
              </c:strCache>
            </c:strRef>
          </c:tx>
          <c:spPr>
            <a:solidFill>
              <a:schemeClr val="accent2">
                <a:lumMod val="80000"/>
                <a:lumOff val="2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'KPI4'!$O$6:$O$26</c:f>
              <c:numCache>
                <c:formatCode>General</c:formatCode>
                <c:ptCount val="20"/>
                <c:pt idx="0">
                  <c:v>71</c:v>
                </c:pt>
                <c:pt idx="1">
                  <c:v>222</c:v>
                </c:pt>
                <c:pt idx="2">
                  <c:v>48</c:v>
                </c:pt>
                <c:pt idx="3">
                  <c:v>103</c:v>
                </c:pt>
                <c:pt idx="4">
                  <c:v>142</c:v>
                </c:pt>
                <c:pt idx="5">
                  <c:v>224</c:v>
                </c:pt>
                <c:pt idx="6">
                  <c:v>137</c:v>
                </c:pt>
                <c:pt idx="7">
                  <c:v>31</c:v>
                </c:pt>
                <c:pt idx="8">
                  <c:v>68</c:v>
                </c:pt>
                <c:pt idx="9">
                  <c:v>110</c:v>
                </c:pt>
                <c:pt idx="10">
                  <c:v>58</c:v>
                </c:pt>
                <c:pt idx="11">
                  <c:v>127</c:v>
                </c:pt>
                <c:pt idx="12">
                  <c:v>130</c:v>
                </c:pt>
                <c:pt idx="13">
                  <c:v>89</c:v>
                </c:pt>
                <c:pt idx="14">
                  <c:v>156</c:v>
                </c:pt>
                <c:pt idx="15">
                  <c:v>173</c:v>
                </c:pt>
                <c:pt idx="16">
                  <c:v>94</c:v>
                </c:pt>
                <c:pt idx="17">
                  <c:v>228</c:v>
                </c:pt>
                <c:pt idx="18">
                  <c:v>130</c:v>
                </c:pt>
                <c:pt idx="19">
                  <c:v>46</c:v>
                </c:pt>
              </c:numCache>
            </c:numRef>
          </c:val>
          <c:extLst>
            <c:ext xmlns:c16="http://schemas.microsoft.com/office/drawing/2014/chart" uri="{C3380CC4-5D6E-409C-BE32-E72D297353CC}">
              <c16:uniqueId val="{00000003-C3C1-4D30-BE77-6D4A838B13BA}"/>
            </c:ext>
          </c:extLst>
        </c:ser>
        <c:ser>
          <c:idx val="14"/>
          <c:order val="14"/>
          <c:tx>
            <c:strRef>
              <c:f>'KPI4'!$P$3:$P$5</c:f>
              <c:strCache>
                <c:ptCount val="1"/>
                <c:pt idx="0">
                  <c:v>Aug - Sum of Social Mentions</c:v>
                </c:pt>
              </c:strCache>
            </c:strRef>
          </c:tx>
          <c:spPr>
            <a:solidFill>
              <a:schemeClr val="accent3">
                <a:lumMod val="80000"/>
                <a:lumOff val="2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'KPI4'!$P$6:$P$26</c:f>
              <c:numCache>
                <c:formatCode>General</c:formatCode>
                <c:ptCount val="20"/>
                <c:pt idx="0">
                  <c:v>601378</c:v>
                </c:pt>
                <c:pt idx="1">
                  <c:v>480829</c:v>
                </c:pt>
                <c:pt idx="2">
                  <c:v>654785</c:v>
                </c:pt>
                <c:pt idx="3">
                  <c:v>591460</c:v>
                </c:pt>
                <c:pt idx="4">
                  <c:v>414111</c:v>
                </c:pt>
                <c:pt idx="5">
                  <c:v>532005</c:v>
                </c:pt>
                <c:pt idx="6">
                  <c:v>336439</c:v>
                </c:pt>
                <c:pt idx="7">
                  <c:v>871914</c:v>
                </c:pt>
                <c:pt idx="8">
                  <c:v>441048</c:v>
                </c:pt>
                <c:pt idx="9">
                  <c:v>203077</c:v>
                </c:pt>
                <c:pt idx="10">
                  <c:v>389879</c:v>
                </c:pt>
                <c:pt idx="11">
                  <c:v>225446</c:v>
                </c:pt>
                <c:pt idx="12">
                  <c:v>120311</c:v>
                </c:pt>
                <c:pt idx="13">
                  <c:v>661372</c:v>
                </c:pt>
                <c:pt idx="14">
                  <c:v>450248</c:v>
                </c:pt>
                <c:pt idx="15">
                  <c:v>810854</c:v>
                </c:pt>
                <c:pt idx="16">
                  <c:v>683107</c:v>
                </c:pt>
                <c:pt idx="17">
                  <c:v>497959</c:v>
                </c:pt>
                <c:pt idx="18">
                  <c:v>186386</c:v>
                </c:pt>
                <c:pt idx="19">
                  <c:v>821321</c:v>
                </c:pt>
              </c:numCache>
            </c:numRef>
          </c:val>
          <c:extLst>
            <c:ext xmlns:c16="http://schemas.microsoft.com/office/drawing/2014/chart" uri="{C3380CC4-5D6E-409C-BE32-E72D297353CC}">
              <c16:uniqueId val="{00000004-C3C1-4D30-BE77-6D4A838B13BA}"/>
            </c:ext>
          </c:extLst>
        </c:ser>
        <c:ser>
          <c:idx val="15"/>
          <c:order val="15"/>
          <c:tx>
            <c:strRef>
              <c:f>'KPI4'!$Q$3:$Q$5</c:f>
              <c:strCache>
                <c:ptCount val="1"/>
                <c:pt idx="0">
                  <c:v>Aug - Sum of Website Visits (Millions)</c:v>
                </c:pt>
              </c:strCache>
            </c:strRef>
          </c:tx>
          <c:spPr>
            <a:solidFill>
              <a:schemeClr val="accent4">
                <a:lumMod val="80000"/>
                <a:lumOff val="2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'KPI4'!$Q$6:$Q$26</c:f>
              <c:numCache>
                <c:formatCode>General</c:formatCode>
                <c:ptCount val="20"/>
                <c:pt idx="0">
                  <c:v>99</c:v>
                </c:pt>
                <c:pt idx="1">
                  <c:v>219</c:v>
                </c:pt>
                <c:pt idx="2">
                  <c:v>22</c:v>
                </c:pt>
                <c:pt idx="3">
                  <c:v>225</c:v>
                </c:pt>
                <c:pt idx="4">
                  <c:v>182</c:v>
                </c:pt>
                <c:pt idx="5">
                  <c:v>102</c:v>
                </c:pt>
                <c:pt idx="6">
                  <c:v>180</c:v>
                </c:pt>
                <c:pt idx="7">
                  <c:v>78</c:v>
                </c:pt>
                <c:pt idx="8">
                  <c:v>120</c:v>
                </c:pt>
                <c:pt idx="9">
                  <c:v>28</c:v>
                </c:pt>
                <c:pt idx="10">
                  <c:v>232</c:v>
                </c:pt>
                <c:pt idx="11">
                  <c:v>146</c:v>
                </c:pt>
                <c:pt idx="12">
                  <c:v>152</c:v>
                </c:pt>
                <c:pt idx="13">
                  <c:v>77</c:v>
                </c:pt>
                <c:pt idx="14">
                  <c:v>147</c:v>
                </c:pt>
                <c:pt idx="15">
                  <c:v>138</c:v>
                </c:pt>
                <c:pt idx="16">
                  <c:v>21</c:v>
                </c:pt>
                <c:pt idx="17">
                  <c:v>30</c:v>
                </c:pt>
                <c:pt idx="18">
                  <c:v>132</c:v>
                </c:pt>
                <c:pt idx="19">
                  <c:v>185</c:v>
                </c:pt>
              </c:numCache>
            </c:numRef>
          </c:val>
          <c:extLst>
            <c:ext xmlns:c16="http://schemas.microsoft.com/office/drawing/2014/chart" uri="{C3380CC4-5D6E-409C-BE32-E72D297353CC}">
              <c16:uniqueId val="{00000005-C3C1-4D30-BE77-6D4A838B13BA}"/>
            </c:ext>
          </c:extLst>
        </c:ser>
        <c:ser>
          <c:idx val="16"/>
          <c:order val="16"/>
          <c:tx>
            <c:strRef>
              <c:f>'KPI4'!$R$3:$R$5</c:f>
              <c:strCache>
                <c:ptCount val="1"/>
                <c:pt idx="0">
                  <c:v>Sep - Sum of Social Mentions</c:v>
                </c:pt>
              </c:strCache>
            </c:strRef>
          </c:tx>
          <c:spPr>
            <a:solidFill>
              <a:schemeClr val="accent5">
                <a:lumMod val="80000"/>
                <a:lumOff val="2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'KPI4'!$R$6:$R$26</c:f>
              <c:numCache>
                <c:formatCode>General</c:formatCode>
                <c:ptCount val="20"/>
                <c:pt idx="0">
                  <c:v>125045</c:v>
                </c:pt>
                <c:pt idx="1">
                  <c:v>704220</c:v>
                </c:pt>
                <c:pt idx="2">
                  <c:v>608842</c:v>
                </c:pt>
                <c:pt idx="3">
                  <c:v>621379</c:v>
                </c:pt>
                <c:pt idx="4">
                  <c:v>869114</c:v>
                </c:pt>
                <c:pt idx="5">
                  <c:v>239806</c:v>
                </c:pt>
                <c:pt idx="6">
                  <c:v>457528</c:v>
                </c:pt>
                <c:pt idx="7">
                  <c:v>739266</c:v>
                </c:pt>
                <c:pt idx="8">
                  <c:v>426309</c:v>
                </c:pt>
                <c:pt idx="9">
                  <c:v>359466</c:v>
                </c:pt>
                <c:pt idx="10">
                  <c:v>246915</c:v>
                </c:pt>
                <c:pt idx="11">
                  <c:v>135813</c:v>
                </c:pt>
                <c:pt idx="12">
                  <c:v>455347</c:v>
                </c:pt>
                <c:pt idx="13">
                  <c:v>217337</c:v>
                </c:pt>
                <c:pt idx="14">
                  <c:v>673352</c:v>
                </c:pt>
                <c:pt idx="15">
                  <c:v>897676</c:v>
                </c:pt>
                <c:pt idx="16">
                  <c:v>591941</c:v>
                </c:pt>
                <c:pt idx="17">
                  <c:v>225937</c:v>
                </c:pt>
                <c:pt idx="18">
                  <c:v>860226</c:v>
                </c:pt>
                <c:pt idx="19">
                  <c:v>724696</c:v>
                </c:pt>
              </c:numCache>
            </c:numRef>
          </c:val>
          <c:extLst>
            <c:ext xmlns:c16="http://schemas.microsoft.com/office/drawing/2014/chart" uri="{C3380CC4-5D6E-409C-BE32-E72D297353CC}">
              <c16:uniqueId val="{00000006-C3C1-4D30-BE77-6D4A838B13BA}"/>
            </c:ext>
          </c:extLst>
        </c:ser>
        <c:ser>
          <c:idx val="17"/>
          <c:order val="17"/>
          <c:tx>
            <c:strRef>
              <c:f>'KPI4'!$S$3:$S$5</c:f>
              <c:strCache>
                <c:ptCount val="1"/>
                <c:pt idx="0">
                  <c:v>Sep - Sum of Website Visits (Millions)</c:v>
                </c:pt>
              </c:strCache>
            </c:strRef>
          </c:tx>
          <c:spPr>
            <a:solidFill>
              <a:schemeClr val="accent6">
                <a:lumMod val="80000"/>
                <a:lumOff val="2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'KPI4'!$S$6:$S$26</c:f>
              <c:numCache>
                <c:formatCode>General</c:formatCode>
                <c:ptCount val="20"/>
                <c:pt idx="0">
                  <c:v>239</c:v>
                </c:pt>
                <c:pt idx="1">
                  <c:v>75</c:v>
                </c:pt>
                <c:pt idx="2">
                  <c:v>201</c:v>
                </c:pt>
                <c:pt idx="3">
                  <c:v>175</c:v>
                </c:pt>
                <c:pt idx="4">
                  <c:v>185</c:v>
                </c:pt>
                <c:pt idx="5">
                  <c:v>64</c:v>
                </c:pt>
                <c:pt idx="6">
                  <c:v>72</c:v>
                </c:pt>
                <c:pt idx="7">
                  <c:v>46</c:v>
                </c:pt>
                <c:pt idx="8">
                  <c:v>117</c:v>
                </c:pt>
                <c:pt idx="9">
                  <c:v>120</c:v>
                </c:pt>
                <c:pt idx="10">
                  <c:v>111</c:v>
                </c:pt>
                <c:pt idx="11">
                  <c:v>135</c:v>
                </c:pt>
                <c:pt idx="12">
                  <c:v>20</c:v>
                </c:pt>
                <c:pt idx="13">
                  <c:v>46</c:v>
                </c:pt>
                <c:pt idx="14">
                  <c:v>176</c:v>
                </c:pt>
                <c:pt idx="15">
                  <c:v>81</c:v>
                </c:pt>
                <c:pt idx="16">
                  <c:v>250</c:v>
                </c:pt>
                <c:pt idx="17">
                  <c:v>60</c:v>
                </c:pt>
                <c:pt idx="18">
                  <c:v>78</c:v>
                </c:pt>
                <c:pt idx="19">
                  <c:v>214</c:v>
                </c:pt>
              </c:numCache>
            </c:numRef>
          </c:val>
          <c:extLst>
            <c:ext xmlns:c16="http://schemas.microsoft.com/office/drawing/2014/chart" uri="{C3380CC4-5D6E-409C-BE32-E72D297353CC}">
              <c16:uniqueId val="{00000007-C3C1-4D30-BE77-6D4A838B13BA}"/>
            </c:ext>
          </c:extLst>
        </c:ser>
        <c:ser>
          <c:idx val="18"/>
          <c:order val="18"/>
          <c:tx>
            <c:strRef>
              <c:f>'KPI4'!$T$3:$T$5</c:f>
              <c:strCache>
                <c:ptCount val="1"/>
                <c:pt idx="0">
                  <c:v>Oct - Sum of Social Mentions</c:v>
                </c:pt>
              </c:strCache>
            </c:strRef>
          </c:tx>
          <c:spPr>
            <a:solidFill>
              <a:schemeClr val="accent1">
                <a:lumMod val="8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'KPI4'!$T$6:$T$26</c:f>
              <c:numCache>
                <c:formatCode>General</c:formatCode>
                <c:ptCount val="20"/>
                <c:pt idx="0">
                  <c:v>182702</c:v>
                </c:pt>
                <c:pt idx="1">
                  <c:v>533704</c:v>
                </c:pt>
                <c:pt idx="2">
                  <c:v>318105</c:v>
                </c:pt>
                <c:pt idx="3">
                  <c:v>789974</c:v>
                </c:pt>
                <c:pt idx="4">
                  <c:v>108336</c:v>
                </c:pt>
                <c:pt idx="5">
                  <c:v>666978</c:v>
                </c:pt>
                <c:pt idx="6">
                  <c:v>884934</c:v>
                </c:pt>
                <c:pt idx="7">
                  <c:v>306007</c:v>
                </c:pt>
                <c:pt idx="8">
                  <c:v>409232</c:v>
                </c:pt>
                <c:pt idx="9">
                  <c:v>689317</c:v>
                </c:pt>
                <c:pt idx="10">
                  <c:v>499420</c:v>
                </c:pt>
                <c:pt idx="11">
                  <c:v>624308</c:v>
                </c:pt>
                <c:pt idx="12">
                  <c:v>343654</c:v>
                </c:pt>
                <c:pt idx="13">
                  <c:v>556715</c:v>
                </c:pt>
                <c:pt idx="14">
                  <c:v>129635</c:v>
                </c:pt>
                <c:pt idx="15">
                  <c:v>397707</c:v>
                </c:pt>
                <c:pt idx="16">
                  <c:v>379837</c:v>
                </c:pt>
                <c:pt idx="17">
                  <c:v>366802</c:v>
                </c:pt>
                <c:pt idx="18">
                  <c:v>139843</c:v>
                </c:pt>
                <c:pt idx="19">
                  <c:v>872918</c:v>
                </c:pt>
              </c:numCache>
            </c:numRef>
          </c:val>
          <c:extLst>
            <c:ext xmlns:c16="http://schemas.microsoft.com/office/drawing/2014/chart" uri="{C3380CC4-5D6E-409C-BE32-E72D297353CC}">
              <c16:uniqueId val="{00000008-C3C1-4D30-BE77-6D4A838B13BA}"/>
            </c:ext>
          </c:extLst>
        </c:ser>
        <c:ser>
          <c:idx val="19"/>
          <c:order val="19"/>
          <c:tx>
            <c:strRef>
              <c:f>'KPI4'!$U$3:$U$5</c:f>
              <c:strCache>
                <c:ptCount val="1"/>
                <c:pt idx="0">
                  <c:v>Oct - Sum of Website Visits (Millions)</c:v>
                </c:pt>
              </c:strCache>
            </c:strRef>
          </c:tx>
          <c:spPr>
            <a:solidFill>
              <a:schemeClr val="accent2">
                <a:lumMod val="80000"/>
              </a:schemeClr>
            </a:solidFill>
            <a:ln>
              <a:noFill/>
            </a:ln>
            <a:effectLst/>
          </c:spPr>
          <c:invertIfNegative val="0"/>
          <c:cat>
            <c:strRef>
              <c:f>'KPI4'!$A$6:$A$26</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'KPI4'!$U$6:$U$26</c:f>
              <c:numCache>
                <c:formatCode>General</c:formatCode>
                <c:ptCount val="20"/>
                <c:pt idx="0">
                  <c:v>68</c:v>
                </c:pt>
                <c:pt idx="1">
                  <c:v>78</c:v>
                </c:pt>
                <c:pt idx="2">
                  <c:v>144</c:v>
                </c:pt>
                <c:pt idx="3">
                  <c:v>219</c:v>
                </c:pt>
                <c:pt idx="4">
                  <c:v>184</c:v>
                </c:pt>
                <c:pt idx="5">
                  <c:v>189</c:v>
                </c:pt>
                <c:pt idx="6">
                  <c:v>94</c:v>
                </c:pt>
                <c:pt idx="7">
                  <c:v>198</c:v>
                </c:pt>
                <c:pt idx="8">
                  <c:v>151</c:v>
                </c:pt>
                <c:pt idx="9">
                  <c:v>65</c:v>
                </c:pt>
                <c:pt idx="10">
                  <c:v>118</c:v>
                </c:pt>
                <c:pt idx="11">
                  <c:v>35</c:v>
                </c:pt>
                <c:pt idx="12">
                  <c:v>141</c:v>
                </c:pt>
                <c:pt idx="13">
                  <c:v>29</c:v>
                </c:pt>
                <c:pt idx="14">
                  <c:v>221</c:v>
                </c:pt>
                <c:pt idx="15">
                  <c:v>113</c:v>
                </c:pt>
                <c:pt idx="16">
                  <c:v>137</c:v>
                </c:pt>
                <c:pt idx="17">
                  <c:v>105</c:v>
                </c:pt>
                <c:pt idx="18">
                  <c:v>84</c:v>
                </c:pt>
                <c:pt idx="19">
                  <c:v>215</c:v>
                </c:pt>
              </c:numCache>
            </c:numRef>
          </c:val>
          <c:extLst>
            <c:ext xmlns:c16="http://schemas.microsoft.com/office/drawing/2014/chart" uri="{C3380CC4-5D6E-409C-BE32-E72D297353CC}">
              <c16:uniqueId val="{00000009-C3C1-4D30-BE77-6D4A838B13BA}"/>
            </c:ext>
          </c:extLst>
        </c:ser>
        <c:dLbls>
          <c:showLegendKey val="0"/>
          <c:showVal val="0"/>
          <c:showCatName val="0"/>
          <c:showSerName val="0"/>
          <c:showPercent val="0"/>
          <c:showBubbleSize val="0"/>
        </c:dLbls>
        <c:gapWidth val="60"/>
        <c:axId val="1233858879"/>
        <c:axId val="1233851199"/>
      </c:barChart>
      <c:catAx>
        <c:axId val="1233858879"/>
        <c:scaling>
          <c:orientation val="minMax"/>
        </c:scaling>
        <c:delete val="0"/>
        <c:axPos val="b"/>
        <c:numFmt formatCode="General" sourceLinked="1"/>
        <c:majorTickMark val="out"/>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851199"/>
        <c:crosses val="autoZero"/>
        <c:auto val="1"/>
        <c:lblAlgn val="ctr"/>
        <c:lblOffset val="100"/>
        <c:noMultiLvlLbl val="0"/>
      </c:catAx>
      <c:valAx>
        <c:axId val="1233851199"/>
        <c:scaling>
          <c:orientation val="minMax"/>
          <c:max val="25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85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 Tools Popularity.xlsx]KPI5!PivotTable4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Ratings of AI Tools</a:t>
            </a:r>
          </a:p>
        </c:rich>
      </c:tx>
      <c:layout>
        <c:manualLayout>
          <c:xMode val="edge"/>
          <c:yMode val="edge"/>
          <c:x val="0.33676227948544746"/>
          <c:y val="5.84285013887338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marker>
          <c:symbol val="none"/>
        </c:marker>
      </c:pivotFmt>
      <c:pivotFmt>
        <c:idx val="33"/>
        <c:marker>
          <c:symbol val="none"/>
        </c:marker>
      </c:pivotFmt>
      <c:pivotFmt>
        <c:idx val="3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'KPI5'!$B$3</c:f>
              <c:strCache>
                <c:ptCount val="1"/>
                <c:pt idx="0">
                  <c:v>Total</c:v>
                </c:pt>
              </c:strCache>
            </c:strRef>
          </c:tx>
          <c:spPr>
            <a:solidFill>
              <a:schemeClr val="accent2"/>
            </a:solidFill>
            <a:ln w="19050">
              <a:solidFill>
                <a:schemeClr val="lt1"/>
              </a:solidFill>
            </a:ln>
            <a:effectLst/>
          </c:spPr>
          <c:invertIfNegative val="0"/>
          <c:cat>
            <c:strRef>
              <c:f>'KPI5'!$A$4:$A$24</c:f>
              <c:strCache>
                <c:ptCount val="20"/>
                <c:pt idx="0">
                  <c:v>Canva Magic Studio</c:v>
                </c:pt>
                <c:pt idx="1">
                  <c:v>Character AI</c:v>
                </c:pt>
                <c:pt idx="2">
                  <c:v>ChatGPT</c:v>
                </c:pt>
                <c:pt idx="3">
                  <c:v>Claude</c:v>
                </c:pt>
                <c:pt idx="4">
                  <c:v>DALL·E</c:v>
                </c:pt>
                <c:pt idx="5">
                  <c:v>DeepL</c:v>
                </c:pt>
                <c:pt idx="6">
                  <c:v>Descript</c:v>
                </c:pt>
                <c:pt idx="7">
                  <c:v>ElevenLabs</c:v>
                </c:pt>
                <c:pt idx="8">
                  <c:v>Gemini</c:v>
                </c:pt>
                <c:pt idx="9">
                  <c:v>GrammarlyGO</c:v>
                </c:pt>
                <c:pt idx="10">
                  <c:v>Jasper AI</c:v>
                </c:pt>
                <c:pt idx="11">
                  <c:v>Microsoft Copilot</c:v>
                </c:pt>
                <c:pt idx="12">
                  <c:v>Midjourney</c:v>
                </c:pt>
                <c:pt idx="13">
                  <c:v>Notion AI</c:v>
                </c:pt>
                <c:pt idx="14">
                  <c:v>Perplexity AI</c:v>
                </c:pt>
                <c:pt idx="15">
                  <c:v>Poe AI</c:v>
                </c:pt>
                <c:pt idx="16">
                  <c:v>Replit Ghostwriter</c:v>
                </c:pt>
                <c:pt idx="17">
                  <c:v>Runway ML</c:v>
                </c:pt>
                <c:pt idx="18">
                  <c:v>Sora</c:v>
                </c:pt>
                <c:pt idx="19">
                  <c:v>Synthesia</c:v>
                </c:pt>
              </c:strCache>
            </c:strRef>
          </c:cat>
          <c:val>
            <c:numRef>
              <c:f>'KPI5'!$B$4:$B$24</c:f>
              <c:numCache>
                <c:formatCode>0.00</c:formatCode>
                <c:ptCount val="20"/>
                <c:pt idx="0">
                  <c:v>4.49</c:v>
                </c:pt>
                <c:pt idx="1">
                  <c:v>4.6399999999999997</c:v>
                </c:pt>
                <c:pt idx="2">
                  <c:v>4.3800000000000008</c:v>
                </c:pt>
                <c:pt idx="3">
                  <c:v>4.49</c:v>
                </c:pt>
                <c:pt idx="4">
                  <c:v>4.5599999999999996</c:v>
                </c:pt>
                <c:pt idx="5">
                  <c:v>4.42</c:v>
                </c:pt>
                <c:pt idx="6">
                  <c:v>4.5599999999999987</c:v>
                </c:pt>
                <c:pt idx="7">
                  <c:v>4.5999999999999996</c:v>
                </c:pt>
                <c:pt idx="8">
                  <c:v>4.6099999999999994</c:v>
                </c:pt>
                <c:pt idx="9">
                  <c:v>4.5500000000000007</c:v>
                </c:pt>
                <c:pt idx="10">
                  <c:v>4.6500000000000004</c:v>
                </c:pt>
                <c:pt idx="11">
                  <c:v>4.62</c:v>
                </c:pt>
                <c:pt idx="12">
                  <c:v>4.63</c:v>
                </c:pt>
                <c:pt idx="13">
                  <c:v>4.58</c:v>
                </c:pt>
                <c:pt idx="14">
                  <c:v>4.51</c:v>
                </c:pt>
                <c:pt idx="15">
                  <c:v>4.7</c:v>
                </c:pt>
                <c:pt idx="16">
                  <c:v>4.63</c:v>
                </c:pt>
                <c:pt idx="17">
                  <c:v>4.66</c:v>
                </c:pt>
                <c:pt idx="18">
                  <c:v>4.5199999999999996</c:v>
                </c:pt>
                <c:pt idx="19">
                  <c:v>4.5499999999999989</c:v>
                </c:pt>
              </c:numCache>
            </c:numRef>
          </c:val>
          <c:extLst>
            <c:ext xmlns:c16="http://schemas.microsoft.com/office/drawing/2014/chart" uri="{C3380CC4-5D6E-409C-BE32-E72D297353CC}">
              <c16:uniqueId val="{00000000-EDCD-4A1D-A0DC-4EDCACBC1561}"/>
            </c:ext>
          </c:extLst>
        </c:ser>
        <c:dLbls>
          <c:showLegendKey val="0"/>
          <c:showVal val="0"/>
          <c:showCatName val="0"/>
          <c:showSerName val="0"/>
          <c:showPercent val="0"/>
          <c:showBubbleSize val="0"/>
        </c:dLbls>
        <c:gapWidth val="150"/>
        <c:axId val="2109546495"/>
        <c:axId val="2109567615"/>
      </c:barChart>
      <c:valAx>
        <c:axId val="210956761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46495"/>
        <c:crosses val="autoZero"/>
        <c:crossBetween val="between"/>
      </c:valAx>
      <c:catAx>
        <c:axId val="2109546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676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[AI Tools Popularity.xlsx]KPI6!PivotTable1</c:name>
    <c:fmtId val="1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pivotFmt>
      <c:pivotFmt>
        <c:idx val="21"/>
        <c:spPr>
          <a:solidFill>
            <a:schemeClr val="accent6"/>
          </a:solidFill>
          <a:ln>
            <a:noFill/>
          </a:ln>
          <a:effectLst/>
        </c:spPr>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pivotFmt>
      <c:pivotFmt>
        <c:idx val="24"/>
        <c:spPr>
          <a:solidFill>
            <a:schemeClr val="accent6"/>
          </a:solidFill>
          <a:ln>
            <a:noFill/>
          </a:ln>
          <a:effectLst/>
        </c:spPr>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pivotFmt>
      <c:pivotFmt>
        <c:idx val="27"/>
        <c:spPr>
          <a:solidFill>
            <a:schemeClr val="accent6"/>
          </a:solidFill>
          <a:ln>
            <a:noFill/>
          </a:ln>
          <a:effectLst/>
        </c:spPr>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pivotFmt>
      <c:pivotFmt>
        <c:idx val="30"/>
        <c:spPr>
          <a:solidFill>
            <a:schemeClr val="accent6"/>
          </a:solidFill>
          <a:ln>
            <a:noFill/>
          </a:ln>
          <a:effectLst/>
        </c:spPr>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pivotFmt>
      <c:pivotFmt>
        <c:idx val="33"/>
        <c:spPr>
          <a:solidFill>
            <a:schemeClr val="accent6"/>
          </a:solidFill>
          <a:ln>
            <a:noFill/>
          </a:ln>
          <a:effectLst/>
        </c:spPr>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pivotFmt>
      <c:pivotFmt>
        <c:idx val="36"/>
        <c:spPr>
          <a:solidFill>
            <a:schemeClr val="accent6"/>
          </a:solidFill>
          <a:ln>
            <a:noFill/>
          </a:ln>
          <a:effectLst/>
        </c:spPr>
      </c:pivotFmt>
      <c:pivotFmt>
        <c:idx val="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pivotFmt>
      <c:pivotFmt>
        <c:idx val="39"/>
        <c:spPr>
          <a:solidFill>
            <a:schemeClr val="accent6"/>
          </a:solidFill>
          <a:ln>
            <a:noFill/>
          </a:ln>
          <a:effectLst/>
        </c:spPr>
      </c:pivotFmt>
      <c:pivotFmt>
        <c:idx val="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pivotFmt>
      <c:pivotFmt>
        <c:idx val="42"/>
        <c:spPr>
          <a:solidFill>
            <a:schemeClr val="accent6"/>
          </a:solidFill>
          <a:ln>
            <a:noFill/>
          </a:ln>
          <a:effectLst/>
        </c:spPr>
      </c:pivotFmt>
      <c:pivotFmt>
        <c:idx val="4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pivotFmt>
      <c:pivotFmt>
        <c:idx val="45"/>
        <c:spPr>
          <a:solidFill>
            <a:schemeClr val="accent6"/>
          </a:solidFill>
          <a:ln>
            <a:noFill/>
          </a:ln>
          <a:effectLst/>
        </c:spPr>
      </c:pivotFmt>
      <c:pivotFmt>
        <c:idx val="4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pivotFmt>
      <c:pivotFmt>
        <c:idx val="48"/>
        <c:spPr>
          <a:solidFill>
            <a:schemeClr val="accent6"/>
          </a:solidFill>
          <a:ln>
            <a:noFill/>
          </a:ln>
          <a:effectLst/>
        </c:spPr>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tint val="77000"/>
            </a:schemeClr>
          </a:solidFill>
          <a:ln>
            <a:noFill/>
          </a:ln>
          <a:effectLst/>
        </c:spPr>
      </c:pivotFmt>
      <c:pivotFmt>
        <c:idx val="51"/>
        <c:spPr>
          <a:solidFill>
            <a:schemeClr val="accent6">
              <a:shade val="76000"/>
            </a:schemeClr>
          </a:solidFill>
          <a:ln>
            <a:noFill/>
          </a:ln>
          <a:effectLst/>
        </c:spPr>
      </c:pivotFmt>
      <c:pivotFmt>
        <c:idx val="5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tint val="77000"/>
            </a:schemeClr>
          </a:solidFill>
          <a:ln>
            <a:noFill/>
          </a:ln>
          <a:effectLst/>
        </c:spPr>
      </c:pivotFmt>
      <c:pivotFmt>
        <c:idx val="54"/>
        <c:spPr>
          <a:solidFill>
            <a:schemeClr val="accent6">
              <a:shade val="76000"/>
            </a:schemeClr>
          </a:solidFill>
          <a:ln>
            <a:noFill/>
          </a:ln>
          <a:effectLst/>
        </c:spPr>
      </c:pivotFmt>
      <c:pivotFmt>
        <c:idx val="5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tint val="77000"/>
            </a:schemeClr>
          </a:solidFill>
          <a:ln>
            <a:noFill/>
          </a:ln>
          <a:effectLst/>
        </c:spPr>
      </c:pivotFmt>
      <c:pivotFmt>
        <c:idx val="57"/>
        <c:spPr>
          <a:solidFill>
            <a:schemeClr val="accent6">
              <a:shade val="76000"/>
            </a:schemeClr>
          </a:solidFill>
          <a:ln>
            <a:noFill/>
          </a:ln>
          <a:effectLst/>
        </c:spPr>
      </c:pivotFmt>
      <c:pivotFmt>
        <c:idx val="5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tint val="77000"/>
            </a:schemeClr>
          </a:solidFill>
          <a:ln>
            <a:noFill/>
          </a:ln>
          <a:effectLst/>
        </c:spPr>
      </c:pivotFmt>
      <c:pivotFmt>
        <c:idx val="60"/>
        <c:spPr>
          <a:solidFill>
            <a:schemeClr val="accent6">
              <a:shade val="76000"/>
            </a:schemeClr>
          </a:solidFill>
          <a:ln>
            <a:noFill/>
          </a:ln>
          <a:effectLst/>
        </c:spPr>
      </c:pivotFmt>
      <c:pivotFmt>
        <c:idx val="6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tint val="77000"/>
            </a:schemeClr>
          </a:solidFill>
          <a:ln>
            <a:noFill/>
          </a:ln>
          <a:effectLst/>
        </c:spPr>
      </c:pivotFmt>
      <c:pivotFmt>
        <c:idx val="63"/>
        <c:spPr>
          <a:solidFill>
            <a:schemeClr val="accent6">
              <a:shade val="76000"/>
            </a:schemeClr>
          </a:solidFill>
          <a:ln>
            <a:noFill/>
          </a:ln>
          <a:effectLst/>
        </c:spPr>
      </c:pivotFmt>
      <c:pivotFmt>
        <c:idx val="6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tint val="77000"/>
            </a:schemeClr>
          </a:solidFill>
          <a:ln>
            <a:noFill/>
          </a:ln>
          <a:effectLst/>
        </c:spPr>
      </c:pivotFmt>
      <c:pivotFmt>
        <c:idx val="66"/>
        <c:spPr>
          <a:solidFill>
            <a:schemeClr val="accent6">
              <a:shade val="76000"/>
            </a:schemeClr>
          </a:solidFill>
          <a:ln>
            <a:noFill/>
          </a:ln>
          <a:effectLst/>
        </c:spPr>
      </c:pivotFmt>
      <c:pivotFmt>
        <c:idx val="6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tint val="77000"/>
            </a:schemeClr>
          </a:solidFill>
          <a:ln>
            <a:noFill/>
          </a:ln>
          <a:effectLst/>
        </c:spPr>
      </c:pivotFmt>
      <c:pivotFmt>
        <c:idx val="69"/>
        <c:spPr>
          <a:solidFill>
            <a:schemeClr val="accent6">
              <a:shade val="76000"/>
            </a:schemeClr>
          </a:solidFill>
          <a:ln>
            <a:noFill/>
          </a:ln>
          <a:effectLst/>
        </c:spPr>
      </c:pivotFmt>
      <c:pivotFmt>
        <c:idx val="7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6">
              <a:tint val="77000"/>
            </a:schemeClr>
          </a:solidFill>
          <a:ln>
            <a:noFill/>
          </a:ln>
          <a:effectLst/>
        </c:spPr>
      </c:pivotFmt>
      <c:pivotFmt>
        <c:idx val="72"/>
        <c:spPr>
          <a:solidFill>
            <a:schemeClr val="accent6">
              <a:shade val="76000"/>
            </a:schemeClr>
          </a:solidFill>
          <a:ln>
            <a:noFill/>
          </a:ln>
          <a:effectLst/>
        </c:spPr>
      </c:pivotFmt>
      <c:pivotFmt>
        <c:idx val="7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6">
              <a:tint val="77000"/>
            </a:schemeClr>
          </a:solidFill>
          <a:ln>
            <a:noFill/>
          </a:ln>
          <a:effectLst/>
        </c:spPr>
      </c:pivotFmt>
      <c:pivotFmt>
        <c:idx val="75"/>
        <c:spPr>
          <a:solidFill>
            <a:schemeClr val="accent6">
              <a:shade val="76000"/>
            </a:schemeClr>
          </a:solidFill>
          <a:ln>
            <a:noFill/>
          </a:ln>
          <a:effectLst/>
        </c:spPr>
      </c:pivotFmt>
      <c:pivotFmt>
        <c:idx val="7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6">
              <a:tint val="77000"/>
            </a:schemeClr>
          </a:solidFill>
          <a:ln>
            <a:noFill/>
          </a:ln>
          <a:effectLst/>
        </c:spPr>
      </c:pivotFmt>
      <c:pivotFmt>
        <c:idx val="78"/>
        <c:spPr>
          <a:solidFill>
            <a:schemeClr val="accent6">
              <a:shade val="76000"/>
            </a:schemeClr>
          </a:solidFill>
          <a:ln>
            <a:noFill/>
          </a:ln>
          <a:effectLst/>
        </c:spPr>
      </c:pivotFmt>
      <c:pivotFmt>
        <c:idx val="7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6">
              <a:tint val="77000"/>
            </a:schemeClr>
          </a:solidFill>
          <a:ln>
            <a:noFill/>
          </a:ln>
          <a:effectLst/>
        </c:spPr>
      </c:pivotFmt>
      <c:pivotFmt>
        <c:idx val="81"/>
        <c:spPr>
          <a:solidFill>
            <a:schemeClr val="accent6">
              <a:shade val="76000"/>
            </a:schemeClr>
          </a:solidFill>
          <a:ln>
            <a:noFill/>
          </a:ln>
          <a:effectLst/>
        </c:spPr>
      </c:pivotFmt>
      <c:pivotFmt>
        <c:idx val="8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6">
              <a:tint val="77000"/>
            </a:schemeClr>
          </a:solidFill>
          <a:ln>
            <a:noFill/>
          </a:ln>
          <a:effectLst/>
        </c:spPr>
      </c:pivotFmt>
      <c:pivotFmt>
        <c:idx val="84"/>
        <c:spPr>
          <a:solidFill>
            <a:schemeClr val="accent6">
              <a:shade val="76000"/>
            </a:schemeClr>
          </a:solidFill>
          <a:ln>
            <a:noFill/>
          </a:ln>
          <a:effectLst/>
        </c:spPr>
      </c:pivotFmt>
      <c:pivotFmt>
        <c:idx val="8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'KPI6'!$B$3:$B$4</c:f>
              <c:strCache>
                <c:ptCount val="1"/>
                <c:pt idx="0">
                  <c:v>Jan</c:v>
                </c:pt>
              </c:strCache>
            </c:strRef>
          </c:tx>
          <c:dPt>
            <c:idx val="0"/>
            <c:bubble3D val="0"/>
            <c:spPr>
              <a:solidFill>
                <a:schemeClr val="accent6">
                  <a:shade val="76000"/>
                </a:schemeClr>
              </a:solidFill>
              <a:ln>
                <a:noFill/>
              </a:ln>
              <a:effectLst/>
            </c:spPr>
            <c:extLst>
              <c:ext xmlns:c16="http://schemas.microsoft.com/office/drawing/2014/chart" uri="{C3380CC4-5D6E-409C-BE32-E72D297353CC}">
                <c16:uniqueId val="{00000001-DC02-49F1-AC19-6EB2377BF5CA}"/>
              </c:ext>
            </c:extLst>
          </c:dPt>
          <c:dPt>
            <c:idx val="1"/>
            <c:bubble3D val="0"/>
            <c:spPr>
              <a:solidFill>
                <a:schemeClr val="accent6"/>
              </a:solidFill>
              <a:ln>
                <a:noFill/>
              </a:ln>
              <a:effectLst/>
            </c:spPr>
            <c:extLst>
              <c:ext xmlns:c16="http://schemas.microsoft.com/office/drawing/2014/chart" uri="{C3380CC4-5D6E-409C-BE32-E72D297353CC}">
                <c16:uniqueId val="{00000003-DC02-49F1-AC19-6EB2377BF5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'KPI6'!$B$5:$B$6</c:f>
              <c:numCache>
                <c:formatCode>General</c:formatCode>
                <c:ptCount val="1"/>
                <c:pt idx="0">
                  <c:v>146.69999999999999</c:v>
                </c:pt>
              </c:numCache>
            </c:numRef>
          </c:val>
          <c:extLst>
            <c:ext xmlns:c16="http://schemas.microsoft.com/office/drawing/2014/chart" uri="{C3380CC4-5D6E-409C-BE32-E72D297353CC}">
              <c16:uniqueId val="{00000004-DC02-49F1-AC19-6EB2377BF5CA}"/>
            </c:ext>
          </c:extLst>
        </c:ser>
        <c:ser>
          <c:idx val="1"/>
          <c:order val="1"/>
          <c:tx>
            <c:strRef>
              <c:f>'KPI6'!$C$3:$C$4</c:f>
              <c:strCache>
                <c:ptCount val="1"/>
                <c:pt idx="0">
                  <c:v>Feb</c:v>
                </c:pt>
              </c:strCache>
            </c:strRef>
          </c:tx>
          <c:dPt>
            <c:idx val="0"/>
            <c:bubble3D val="0"/>
            <c:spPr>
              <a:solidFill>
                <a:schemeClr val="accent6">
                  <a:shade val="76000"/>
                </a:schemeClr>
              </a:solidFill>
              <a:ln>
                <a:noFill/>
              </a:ln>
              <a:effectLst/>
            </c:spPr>
            <c:extLst>
              <c:ext xmlns:c16="http://schemas.microsoft.com/office/drawing/2014/chart" uri="{C3380CC4-5D6E-409C-BE32-E72D297353CC}">
                <c16:uniqueId val="{00000005-E224-4966-8B9E-C65BE1AF3B56}"/>
              </c:ext>
            </c:extLst>
          </c:dPt>
          <c:dPt>
            <c:idx val="1"/>
            <c:bubble3D val="0"/>
            <c:spPr>
              <a:solidFill>
                <a:schemeClr val="accent6"/>
              </a:solidFill>
              <a:ln>
                <a:noFill/>
              </a:ln>
              <a:effectLst/>
            </c:spPr>
            <c:extLst>
              <c:ext xmlns:c16="http://schemas.microsoft.com/office/drawing/2014/chart" uri="{C3380CC4-5D6E-409C-BE32-E72D297353CC}">
                <c16:uniqueId val="{00000007-E224-4966-8B9E-C65BE1AF3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'KPI6'!$C$5:$C$6</c:f>
              <c:numCache>
                <c:formatCode>General</c:formatCode>
                <c:ptCount val="1"/>
                <c:pt idx="0">
                  <c:v>111.09999999999998</c:v>
                </c:pt>
              </c:numCache>
            </c:numRef>
          </c:val>
          <c:extLst>
            <c:ext xmlns:c16="http://schemas.microsoft.com/office/drawing/2014/chart" uri="{C3380CC4-5D6E-409C-BE32-E72D297353CC}">
              <c16:uniqueId val="{00000031-35B5-4F89-BB44-56A427332337}"/>
            </c:ext>
          </c:extLst>
        </c:ser>
        <c:ser>
          <c:idx val="2"/>
          <c:order val="2"/>
          <c:tx>
            <c:strRef>
              <c:f>'KPI6'!$D$3:$D$4</c:f>
              <c:strCache>
                <c:ptCount val="1"/>
                <c:pt idx="0">
                  <c:v>Mar</c:v>
                </c:pt>
              </c:strCache>
            </c:strRef>
          </c:tx>
          <c:dPt>
            <c:idx val="0"/>
            <c:bubble3D val="0"/>
            <c:spPr>
              <a:solidFill>
                <a:schemeClr val="accent6">
                  <a:shade val="76000"/>
                </a:schemeClr>
              </a:solidFill>
              <a:ln>
                <a:noFill/>
              </a:ln>
              <a:effectLst/>
            </c:spPr>
            <c:extLst>
              <c:ext xmlns:c16="http://schemas.microsoft.com/office/drawing/2014/chart" uri="{C3380CC4-5D6E-409C-BE32-E72D297353CC}">
                <c16:uniqueId val="{00000009-E224-4966-8B9E-C65BE1AF3B56}"/>
              </c:ext>
            </c:extLst>
          </c:dPt>
          <c:dPt>
            <c:idx val="1"/>
            <c:bubble3D val="0"/>
            <c:spPr>
              <a:solidFill>
                <a:schemeClr val="accent6"/>
              </a:solidFill>
              <a:ln>
                <a:noFill/>
              </a:ln>
              <a:effectLst/>
            </c:spPr>
            <c:extLst>
              <c:ext xmlns:c16="http://schemas.microsoft.com/office/drawing/2014/chart" uri="{C3380CC4-5D6E-409C-BE32-E72D297353CC}">
                <c16:uniqueId val="{0000000B-E224-4966-8B9E-C65BE1AF3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'KPI6'!$D$5:$D$6</c:f>
              <c:numCache>
                <c:formatCode>General</c:formatCode>
                <c:ptCount val="1"/>
                <c:pt idx="0">
                  <c:v>124.2</c:v>
                </c:pt>
              </c:numCache>
            </c:numRef>
          </c:val>
          <c:extLst>
            <c:ext xmlns:c16="http://schemas.microsoft.com/office/drawing/2014/chart" uri="{C3380CC4-5D6E-409C-BE32-E72D297353CC}">
              <c16:uniqueId val="{00000032-35B5-4F89-BB44-56A427332337}"/>
            </c:ext>
          </c:extLst>
        </c:ser>
        <c:ser>
          <c:idx val="3"/>
          <c:order val="3"/>
          <c:tx>
            <c:strRef>
              <c:f>'KPI6'!$E$3:$E$4</c:f>
              <c:strCache>
                <c:ptCount val="1"/>
                <c:pt idx="0">
                  <c:v>Apr</c:v>
                </c:pt>
              </c:strCache>
            </c:strRef>
          </c:tx>
          <c:dPt>
            <c:idx val="0"/>
            <c:bubble3D val="0"/>
            <c:spPr>
              <a:solidFill>
                <a:schemeClr val="accent6">
                  <a:shade val="76000"/>
                </a:schemeClr>
              </a:solidFill>
              <a:ln>
                <a:noFill/>
              </a:ln>
              <a:effectLst/>
            </c:spPr>
            <c:extLst>
              <c:ext xmlns:c16="http://schemas.microsoft.com/office/drawing/2014/chart" uri="{C3380CC4-5D6E-409C-BE32-E72D297353CC}">
                <c16:uniqueId val="{0000000D-E224-4966-8B9E-C65BE1AF3B56}"/>
              </c:ext>
            </c:extLst>
          </c:dPt>
          <c:dPt>
            <c:idx val="1"/>
            <c:bubble3D val="0"/>
            <c:spPr>
              <a:solidFill>
                <a:schemeClr val="accent6"/>
              </a:solidFill>
              <a:ln>
                <a:noFill/>
              </a:ln>
              <a:effectLst/>
            </c:spPr>
            <c:extLst>
              <c:ext xmlns:c16="http://schemas.microsoft.com/office/drawing/2014/chart" uri="{C3380CC4-5D6E-409C-BE32-E72D297353CC}">
                <c16:uniqueId val="{0000000F-E224-4966-8B9E-C65BE1AF3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'KPI6'!$E$5:$E$6</c:f>
              <c:numCache>
                <c:formatCode>General</c:formatCode>
                <c:ptCount val="1"/>
                <c:pt idx="0">
                  <c:v>119.10000000000001</c:v>
                </c:pt>
              </c:numCache>
            </c:numRef>
          </c:val>
          <c:extLst>
            <c:ext xmlns:c16="http://schemas.microsoft.com/office/drawing/2014/chart" uri="{C3380CC4-5D6E-409C-BE32-E72D297353CC}">
              <c16:uniqueId val="{00000033-35B5-4F89-BB44-56A427332337}"/>
            </c:ext>
          </c:extLst>
        </c:ser>
        <c:ser>
          <c:idx val="4"/>
          <c:order val="4"/>
          <c:tx>
            <c:strRef>
              <c:f>'KPI6'!$F$3:$F$4</c:f>
              <c:strCache>
                <c:ptCount val="1"/>
                <c:pt idx="0">
                  <c:v>May</c:v>
                </c:pt>
              </c:strCache>
            </c:strRef>
          </c:tx>
          <c:dPt>
            <c:idx val="0"/>
            <c:bubble3D val="0"/>
            <c:spPr>
              <a:solidFill>
                <a:schemeClr val="accent6">
                  <a:shade val="76000"/>
                </a:schemeClr>
              </a:solidFill>
              <a:ln>
                <a:noFill/>
              </a:ln>
              <a:effectLst/>
            </c:spPr>
            <c:extLst>
              <c:ext xmlns:c16="http://schemas.microsoft.com/office/drawing/2014/chart" uri="{C3380CC4-5D6E-409C-BE32-E72D297353CC}">
                <c16:uniqueId val="{00000011-E224-4966-8B9E-C65BE1AF3B56}"/>
              </c:ext>
            </c:extLst>
          </c:dPt>
          <c:dPt>
            <c:idx val="1"/>
            <c:bubble3D val="0"/>
            <c:spPr>
              <a:solidFill>
                <a:schemeClr val="accent6"/>
              </a:solidFill>
              <a:ln>
                <a:noFill/>
              </a:ln>
              <a:effectLst/>
            </c:spPr>
            <c:extLst>
              <c:ext xmlns:c16="http://schemas.microsoft.com/office/drawing/2014/chart" uri="{C3380CC4-5D6E-409C-BE32-E72D297353CC}">
                <c16:uniqueId val="{00000013-E224-4966-8B9E-C65BE1AF3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'KPI6'!$F$5:$F$6</c:f>
              <c:numCache>
                <c:formatCode>General</c:formatCode>
                <c:ptCount val="1"/>
                <c:pt idx="0">
                  <c:v>128.60000000000002</c:v>
                </c:pt>
              </c:numCache>
            </c:numRef>
          </c:val>
          <c:extLst>
            <c:ext xmlns:c16="http://schemas.microsoft.com/office/drawing/2014/chart" uri="{C3380CC4-5D6E-409C-BE32-E72D297353CC}">
              <c16:uniqueId val="{00000034-35B5-4F89-BB44-56A427332337}"/>
            </c:ext>
          </c:extLst>
        </c:ser>
        <c:ser>
          <c:idx val="5"/>
          <c:order val="5"/>
          <c:tx>
            <c:strRef>
              <c:f>'KPI6'!$G$3:$G$4</c:f>
              <c:strCache>
                <c:ptCount val="1"/>
                <c:pt idx="0">
                  <c:v>Jun</c:v>
                </c:pt>
              </c:strCache>
            </c:strRef>
          </c:tx>
          <c:dPt>
            <c:idx val="0"/>
            <c:bubble3D val="0"/>
            <c:spPr>
              <a:solidFill>
                <a:schemeClr val="accent6">
                  <a:shade val="76000"/>
                </a:schemeClr>
              </a:solidFill>
              <a:ln>
                <a:noFill/>
              </a:ln>
              <a:effectLst/>
            </c:spPr>
            <c:extLst>
              <c:ext xmlns:c16="http://schemas.microsoft.com/office/drawing/2014/chart" uri="{C3380CC4-5D6E-409C-BE32-E72D297353CC}">
                <c16:uniqueId val="{00000015-E224-4966-8B9E-C65BE1AF3B56}"/>
              </c:ext>
            </c:extLst>
          </c:dPt>
          <c:dPt>
            <c:idx val="1"/>
            <c:bubble3D val="0"/>
            <c:spPr>
              <a:solidFill>
                <a:schemeClr val="accent6"/>
              </a:solidFill>
              <a:ln>
                <a:noFill/>
              </a:ln>
              <a:effectLst/>
            </c:spPr>
            <c:extLst>
              <c:ext xmlns:c16="http://schemas.microsoft.com/office/drawing/2014/chart" uri="{C3380CC4-5D6E-409C-BE32-E72D297353CC}">
                <c16:uniqueId val="{00000017-E224-4966-8B9E-C65BE1AF3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'KPI6'!$G$5:$G$6</c:f>
              <c:numCache>
                <c:formatCode>General</c:formatCode>
                <c:ptCount val="1"/>
                <c:pt idx="0">
                  <c:v>117.39999999999999</c:v>
                </c:pt>
              </c:numCache>
            </c:numRef>
          </c:val>
          <c:extLst>
            <c:ext xmlns:c16="http://schemas.microsoft.com/office/drawing/2014/chart" uri="{C3380CC4-5D6E-409C-BE32-E72D297353CC}">
              <c16:uniqueId val="{00000035-35B5-4F89-BB44-56A427332337}"/>
            </c:ext>
          </c:extLst>
        </c:ser>
        <c:ser>
          <c:idx val="6"/>
          <c:order val="6"/>
          <c:tx>
            <c:strRef>
              <c:f>'KPI6'!$H$3:$H$4</c:f>
              <c:strCache>
                <c:ptCount val="1"/>
                <c:pt idx="0">
                  <c:v>Jul</c:v>
                </c:pt>
              </c:strCache>
            </c:strRef>
          </c:tx>
          <c:dPt>
            <c:idx val="0"/>
            <c:bubble3D val="0"/>
            <c:spPr>
              <a:solidFill>
                <a:schemeClr val="accent6">
                  <a:shade val="76000"/>
                </a:schemeClr>
              </a:solidFill>
              <a:ln>
                <a:noFill/>
              </a:ln>
              <a:effectLst/>
            </c:spPr>
            <c:extLst>
              <c:ext xmlns:c16="http://schemas.microsoft.com/office/drawing/2014/chart" uri="{C3380CC4-5D6E-409C-BE32-E72D297353CC}">
                <c16:uniqueId val="{00000019-E224-4966-8B9E-C65BE1AF3B56}"/>
              </c:ext>
            </c:extLst>
          </c:dPt>
          <c:dPt>
            <c:idx val="1"/>
            <c:bubble3D val="0"/>
            <c:spPr>
              <a:solidFill>
                <a:schemeClr val="accent6"/>
              </a:solidFill>
              <a:ln>
                <a:noFill/>
              </a:ln>
              <a:effectLst/>
            </c:spPr>
            <c:extLst>
              <c:ext xmlns:c16="http://schemas.microsoft.com/office/drawing/2014/chart" uri="{C3380CC4-5D6E-409C-BE32-E72D297353CC}">
                <c16:uniqueId val="{0000001B-E224-4966-8B9E-C65BE1AF3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'KPI6'!$H$5:$H$6</c:f>
              <c:numCache>
                <c:formatCode>General</c:formatCode>
                <c:ptCount val="1"/>
                <c:pt idx="0">
                  <c:v>109</c:v>
                </c:pt>
              </c:numCache>
            </c:numRef>
          </c:val>
          <c:extLst>
            <c:ext xmlns:c16="http://schemas.microsoft.com/office/drawing/2014/chart" uri="{C3380CC4-5D6E-409C-BE32-E72D297353CC}">
              <c16:uniqueId val="{00000036-35B5-4F89-BB44-56A427332337}"/>
            </c:ext>
          </c:extLst>
        </c:ser>
        <c:ser>
          <c:idx val="7"/>
          <c:order val="7"/>
          <c:tx>
            <c:strRef>
              <c:f>'KPI6'!$I$3:$I$4</c:f>
              <c:strCache>
                <c:ptCount val="1"/>
                <c:pt idx="0">
                  <c:v>Aug</c:v>
                </c:pt>
              </c:strCache>
            </c:strRef>
          </c:tx>
          <c:dPt>
            <c:idx val="0"/>
            <c:bubble3D val="0"/>
            <c:spPr>
              <a:solidFill>
                <a:schemeClr val="accent6">
                  <a:shade val="76000"/>
                </a:schemeClr>
              </a:solidFill>
              <a:ln>
                <a:noFill/>
              </a:ln>
              <a:effectLst/>
            </c:spPr>
            <c:extLst>
              <c:ext xmlns:c16="http://schemas.microsoft.com/office/drawing/2014/chart" uri="{C3380CC4-5D6E-409C-BE32-E72D297353CC}">
                <c16:uniqueId val="{0000001D-E224-4966-8B9E-C65BE1AF3B56}"/>
              </c:ext>
            </c:extLst>
          </c:dPt>
          <c:dPt>
            <c:idx val="1"/>
            <c:bubble3D val="0"/>
            <c:spPr>
              <a:solidFill>
                <a:schemeClr val="accent6"/>
              </a:solidFill>
              <a:ln>
                <a:noFill/>
              </a:ln>
              <a:effectLst/>
            </c:spPr>
            <c:extLst>
              <c:ext xmlns:c16="http://schemas.microsoft.com/office/drawing/2014/chart" uri="{C3380CC4-5D6E-409C-BE32-E72D297353CC}">
                <c16:uniqueId val="{0000001F-E224-4966-8B9E-C65BE1AF3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'KPI6'!$I$5:$I$6</c:f>
              <c:numCache>
                <c:formatCode>General</c:formatCode>
                <c:ptCount val="1"/>
                <c:pt idx="0">
                  <c:v>121.40000000000002</c:v>
                </c:pt>
              </c:numCache>
            </c:numRef>
          </c:val>
          <c:extLst>
            <c:ext xmlns:c16="http://schemas.microsoft.com/office/drawing/2014/chart" uri="{C3380CC4-5D6E-409C-BE32-E72D297353CC}">
              <c16:uniqueId val="{00000037-35B5-4F89-BB44-56A427332337}"/>
            </c:ext>
          </c:extLst>
        </c:ser>
        <c:ser>
          <c:idx val="8"/>
          <c:order val="8"/>
          <c:tx>
            <c:strRef>
              <c:f>'KPI6'!$J$3:$J$4</c:f>
              <c:strCache>
                <c:ptCount val="1"/>
                <c:pt idx="0">
                  <c:v>Sep</c:v>
                </c:pt>
              </c:strCache>
            </c:strRef>
          </c:tx>
          <c:dPt>
            <c:idx val="0"/>
            <c:bubble3D val="0"/>
            <c:spPr>
              <a:solidFill>
                <a:schemeClr val="accent6">
                  <a:shade val="76000"/>
                </a:schemeClr>
              </a:solidFill>
              <a:ln>
                <a:noFill/>
              </a:ln>
              <a:effectLst/>
            </c:spPr>
            <c:extLst>
              <c:ext xmlns:c16="http://schemas.microsoft.com/office/drawing/2014/chart" uri="{C3380CC4-5D6E-409C-BE32-E72D297353CC}">
                <c16:uniqueId val="{00000021-E224-4966-8B9E-C65BE1AF3B56}"/>
              </c:ext>
            </c:extLst>
          </c:dPt>
          <c:dPt>
            <c:idx val="1"/>
            <c:bubble3D val="0"/>
            <c:spPr>
              <a:solidFill>
                <a:schemeClr val="accent6"/>
              </a:solidFill>
              <a:ln>
                <a:noFill/>
              </a:ln>
              <a:effectLst/>
            </c:spPr>
            <c:extLst>
              <c:ext xmlns:c16="http://schemas.microsoft.com/office/drawing/2014/chart" uri="{C3380CC4-5D6E-409C-BE32-E72D297353CC}">
                <c16:uniqueId val="{00000023-E224-4966-8B9E-C65BE1AF3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'KPI6'!$J$5:$J$6</c:f>
              <c:numCache>
                <c:formatCode>General</c:formatCode>
                <c:ptCount val="1"/>
                <c:pt idx="0">
                  <c:v>107.4</c:v>
                </c:pt>
              </c:numCache>
            </c:numRef>
          </c:val>
          <c:extLst>
            <c:ext xmlns:c16="http://schemas.microsoft.com/office/drawing/2014/chart" uri="{C3380CC4-5D6E-409C-BE32-E72D297353CC}">
              <c16:uniqueId val="{00000038-35B5-4F89-BB44-56A427332337}"/>
            </c:ext>
          </c:extLst>
        </c:ser>
        <c:ser>
          <c:idx val="9"/>
          <c:order val="9"/>
          <c:tx>
            <c:strRef>
              <c:f>'KPI6'!$K$3:$K$4</c:f>
              <c:strCache>
                <c:ptCount val="1"/>
                <c:pt idx="0">
                  <c:v>Oct</c:v>
                </c:pt>
              </c:strCache>
            </c:strRef>
          </c:tx>
          <c:dPt>
            <c:idx val="0"/>
            <c:bubble3D val="0"/>
            <c:spPr>
              <a:solidFill>
                <a:schemeClr val="accent6">
                  <a:shade val="76000"/>
                </a:schemeClr>
              </a:solidFill>
              <a:ln>
                <a:noFill/>
              </a:ln>
              <a:effectLst/>
            </c:spPr>
            <c:extLst>
              <c:ext xmlns:c16="http://schemas.microsoft.com/office/drawing/2014/chart" uri="{C3380CC4-5D6E-409C-BE32-E72D297353CC}">
                <c16:uniqueId val="{00000025-E224-4966-8B9E-C65BE1AF3B56}"/>
              </c:ext>
            </c:extLst>
          </c:dPt>
          <c:dPt>
            <c:idx val="1"/>
            <c:bubble3D val="0"/>
            <c:spPr>
              <a:solidFill>
                <a:schemeClr val="accent6"/>
              </a:solidFill>
              <a:ln>
                <a:noFill/>
              </a:ln>
              <a:effectLst/>
            </c:spPr>
            <c:extLst>
              <c:ext xmlns:c16="http://schemas.microsoft.com/office/drawing/2014/chart" uri="{C3380CC4-5D6E-409C-BE32-E72D297353CC}">
                <c16:uniqueId val="{00000027-E224-4966-8B9E-C65BE1AF3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'KPI6'!$A$5:$A$6</c:f>
              <c:strCache>
                <c:ptCount val="1"/>
                <c:pt idx="0">
                  <c:v>2025</c:v>
                </c:pt>
              </c:strCache>
            </c:strRef>
          </c:cat>
          <c:val>
            <c:numRef>
              <c:f>'KPI6'!$K$5:$K$6</c:f>
              <c:numCache>
                <c:formatCode>General</c:formatCode>
                <c:ptCount val="1"/>
                <c:pt idx="0">
                  <c:v>127.1</c:v>
                </c:pt>
              </c:numCache>
            </c:numRef>
          </c:val>
          <c:extLst>
            <c:ext xmlns:c16="http://schemas.microsoft.com/office/drawing/2014/chart" uri="{C3380CC4-5D6E-409C-BE32-E72D297353CC}">
              <c16:uniqueId val="{00000039-35B5-4F89-BB44-56A4273323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8" Type="http://schemas.openxmlformats.org/officeDocument/2006/relationships/hyperlink" Target="#'KPI3'!A1"/><Relationship Id="rId13" Type="http://schemas.openxmlformats.org/officeDocument/2006/relationships/hyperlink" Target="#'KPI5'!A1"/><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hyperlink" Target="#'KPI2'!A1"/><Relationship Id="rId2" Type="http://schemas.openxmlformats.org/officeDocument/2006/relationships/chart" Target="../charts/chart7.xml"/><Relationship Id="rId1" Type="http://schemas.openxmlformats.org/officeDocument/2006/relationships/image" Target="../media/image1.jpeg"/><Relationship Id="rId6" Type="http://schemas.openxmlformats.org/officeDocument/2006/relationships/chart" Target="../charts/chart11.xml"/><Relationship Id="rId11" Type="http://schemas.openxmlformats.org/officeDocument/2006/relationships/hyperlink" Target="#'KPI4'!A1"/><Relationship Id="rId5" Type="http://schemas.openxmlformats.org/officeDocument/2006/relationships/chart" Target="../charts/chart10.xml"/><Relationship Id="rId15" Type="http://schemas.openxmlformats.org/officeDocument/2006/relationships/hyperlink" Target="#' KPI1'!A1"/><Relationship Id="rId10" Type="http://schemas.openxmlformats.org/officeDocument/2006/relationships/image" Target="../media/image3.svg"/><Relationship Id="rId4" Type="http://schemas.openxmlformats.org/officeDocument/2006/relationships/chart" Target="../charts/chart9.xml"/><Relationship Id="rId9" Type="http://schemas.openxmlformats.org/officeDocument/2006/relationships/image" Target="../media/image2.png"/><Relationship Id="rId14" Type="http://schemas.openxmlformats.org/officeDocument/2006/relationships/hyperlink" Target="#'KPI6'!A1"/></Relationships>
</file>

<file path=xl/drawings/drawing1.xml><?xml version="1.0" encoding="utf-8"?>
<xdr:wsDr xmlns:xdr="http://schemas.openxmlformats.org/drawingml/2006/spreadsheetDrawing" xmlns:a="http://schemas.openxmlformats.org/drawingml/2006/main">
  <xdr:twoCellAnchor>
    <xdr:from>
      <xdr:col>0</xdr:col>
      <xdr:colOff>625404</xdr:colOff>
      <xdr:row>12</xdr:row>
      <xdr:rowOff>69756</xdr:rowOff>
    </xdr:from>
    <xdr:to>
      <xdr:col>11</xdr:col>
      <xdr:colOff>164536</xdr:colOff>
      <xdr:row>27</xdr:row>
      <xdr:rowOff>69757</xdr:rowOff>
    </xdr:to>
    <xdr:graphicFrame macro="">
      <xdr:nvGraphicFramePr>
        <xdr:cNvPr id="2" name="Chart 1">
          <a:extLst>
            <a:ext uri="{FF2B5EF4-FFF2-40B4-BE49-F238E27FC236}">
              <a16:creationId xmlns:a16="http://schemas.microsoft.com/office/drawing/2014/main" id="{2D6E3248-6065-E0D4-5DA6-69B143CD4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413832</xdr:colOff>
      <xdr:row>5</xdr:row>
      <xdr:rowOff>100565</xdr:rowOff>
    </xdr:from>
    <xdr:to>
      <xdr:col>15</xdr:col>
      <xdr:colOff>1019669</xdr:colOff>
      <xdr:row>19</xdr:row>
      <xdr:rowOff>65170</xdr:rowOff>
    </xdr:to>
    <mc:AlternateContent xmlns:mc="http://schemas.openxmlformats.org/markup-compatibility/2006" xmlns:a14="http://schemas.microsoft.com/office/drawing/2010/main">
      <mc:Choice Requires="a14">
        <xdr:graphicFrame macro="">
          <xdr:nvGraphicFramePr>
            <xdr:cNvPr id="6" name="AI Tool Name">
              <a:extLst>
                <a:ext uri="{FF2B5EF4-FFF2-40B4-BE49-F238E27FC236}">
                  <a16:creationId xmlns:a16="http://schemas.microsoft.com/office/drawing/2014/main" id="{B5303F41-2134-0E3C-A673-A0D4BF4574B0}"/>
                </a:ext>
              </a:extLst>
            </xdr:cNvPr>
            <xdr:cNvGraphicFramePr/>
          </xdr:nvGraphicFramePr>
          <xdr:xfrm>
            <a:off x="0" y="0"/>
            <a:ext cx="0" cy="0"/>
          </xdr:xfrm>
          <a:graphic>
            <a:graphicData uri="http://schemas.microsoft.com/office/drawing/2010/slicer">
              <sle:slicer xmlns:sle="http://schemas.microsoft.com/office/drawing/2010/slicer" name="AI Tool Name"/>
            </a:graphicData>
          </a:graphic>
        </xdr:graphicFrame>
      </mc:Choice>
      <mc:Fallback xmlns="">
        <xdr:sp macro="" textlink="">
          <xdr:nvSpPr>
            <xdr:cNvPr id="0" name=""/>
            <xdr:cNvSpPr>
              <a:spLocks noTextEdit="1"/>
            </xdr:cNvSpPr>
          </xdr:nvSpPr>
          <xdr:spPr>
            <a:xfrm>
              <a:off x="7845684" y="99426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291629</xdr:colOff>
      <xdr:row>11</xdr:row>
      <xdr:rowOff>159926</xdr:rowOff>
    </xdr:from>
    <xdr:to>
      <xdr:col>18</xdr:col>
      <xdr:colOff>921926</xdr:colOff>
      <xdr:row>19</xdr:row>
      <xdr:rowOff>47037</xdr:rowOff>
    </xdr:to>
    <xdr:sp macro="" textlink="">
      <xdr:nvSpPr>
        <xdr:cNvPr id="3" name="Arrow: Notched Right 2">
          <a:hlinkClick xmlns:r="http://schemas.openxmlformats.org/officeDocument/2006/relationships" r:id="rId2"/>
          <a:extLst>
            <a:ext uri="{FF2B5EF4-FFF2-40B4-BE49-F238E27FC236}">
              <a16:creationId xmlns:a16="http://schemas.microsoft.com/office/drawing/2014/main" id="{49A25884-58B4-9FEB-B6C2-45659C3B37C6}"/>
            </a:ext>
          </a:extLst>
        </xdr:cNvPr>
        <xdr:cNvSpPr/>
      </xdr:nvSpPr>
      <xdr:spPr>
        <a:xfrm>
          <a:off x="10169407" y="2126074"/>
          <a:ext cx="3076223" cy="1317037"/>
        </a:xfrm>
        <a:prstGeom prst="notchedRightArrow">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a:t>
          </a:r>
          <a:r>
            <a:rPr lang="en-IN" sz="1600" b="1" baseline="0"/>
            <a:t> the Dashboard</a:t>
          </a:r>
          <a:endParaRPr lang="en-IN"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868535</xdr:colOff>
      <xdr:row>11</xdr:row>
      <xdr:rowOff>69434</xdr:rowOff>
    </xdr:from>
    <xdr:to>
      <xdr:col>14</xdr:col>
      <xdr:colOff>300552</xdr:colOff>
      <xdr:row>31</xdr:row>
      <xdr:rowOff>144925</xdr:rowOff>
    </xdr:to>
    <xdr:graphicFrame macro="">
      <xdr:nvGraphicFramePr>
        <xdr:cNvPr id="2" name="Chart 1">
          <a:extLst>
            <a:ext uri="{FF2B5EF4-FFF2-40B4-BE49-F238E27FC236}">
              <a16:creationId xmlns:a16="http://schemas.microsoft.com/office/drawing/2014/main" id="{8F606D88-17A9-F5FC-60A5-93E111616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962440</xdr:colOff>
      <xdr:row>12</xdr:row>
      <xdr:rowOff>157922</xdr:rowOff>
    </xdr:from>
    <xdr:to>
      <xdr:col>2</xdr:col>
      <xdr:colOff>416892</xdr:colOff>
      <xdr:row>25</xdr:row>
      <xdr:rowOff>184289</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38754C9C-4B7D-52EE-6241-6A13C88FB4C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62440" y="241079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15</xdr:row>
      <xdr:rowOff>0</xdr:rowOff>
    </xdr:from>
    <xdr:to>
      <xdr:col>21</xdr:col>
      <xdr:colOff>50310</xdr:colOff>
      <xdr:row>22</xdr:row>
      <xdr:rowOff>2863</xdr:rowOff>
    </xdr:to>
    <xdr:sp macro="" textlink="">
      <xdr:nvSpPr>
        <xdr:cNvPr id="3" name="Arrow: Notched Right 2">
          <a:hlinkClick xmlns:r="http://schemas.openxmlformats.org/officeDocument/2006/relationships" r:id="rId2"/>
          <a:extLst>
            <a:ext uri="{FF2B5EF4-FFF2-40B4-BE49-F238E27FC236}">
              <a16:creationId xmlns:a16="http://schemas.microsoft.com/office/drawing/2014/main" id="{72BAAB32-CF7C-4CCF-8C41-236395F67829}"/>
            </a:ext>
          </a:extLst>
        </xdr:cNvPr>
        <xdr:cNvSpPr/>
      </xdr:nvSpPr>
      <xdr:spPr>
        <a:xfrm>
          <a:off x="12578522" y="2816087"/>
          <a:ext cx="3076223" cy="1317037"/>
        </a:xfrm>
        <a:prstGeom prst="notchedRightArrow">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a:t>
          </a:r>
          <a:r>
            <a:rPr lang="en-IN" sz="1600" b="1" baseline="0"/>
            <a:t> the Dashboard</a:t>
          </a:r>
          <a:endParaRPr lang="en-IN" sz="16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144780</xdr:colOff>
      <xdr:row>3</xdr:row>
      <xdr:rowOff>171450</xdr:rowOff>
    </xdr:from>
    <xdr:to>
      <xdr:col>10</xdr:col>
      <xdr:colOff>449580</xdr:colOff>
      <xdr:row>18</xdr:row>
      <xdr:rowOff>171450</xdr:rowOff>
    </xdr:to>
    <xdr:graphicFrame macro="">
      <xdr:nvGraphicFramePr>
        <xdr:cNvPr id="2" name="Chart 1">
          <a:extLst>
            <a:ext uri="{FF2B5EF4-FFF2-40B4-BE49-F238E27FC236}">
              <a16:creationId xmlns:a16="http://schemas.microsoft.com/office/drawing/2014/main" id="{151746B9-539F-4FF4-001F-79CD61683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259080</xdr:colOff>
      <xdr:row>7</xdr:row>
      <xdr:rowOff>167640</xdr:rowOff>
    </xdr:from>
    <xdr:to>
      <xdr:col>14</xdr:col>
      <xdr:colOff>259080</xdr:colOff>
      <xdr:row>21</xdr:row>
      <xdr:rowOff>74295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FCEDD829-2AF3-F83D-7ABE-3023D7821D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33460" y="1447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21</xdr:row>
      <xdr:rowOff>0</xdr:rowOff>
    </xdr:from>
    <xdr:to>
      <xdr:col>9</xdr:col>
      <xdr:colOff>28223</xdr:colOff>
      <xdr:row>28</xdr:row>
      <xdr:rowOff>36877</xdr:rowOff>
    </xdr:to>
    <xdr:sp macro="" textlink="">
      <xdr:nvSpPr>
        <xdr:cNvPr id="4" name="Arrow: Notched Right 3">
          <a:hlinkClick xmlns:r="http://schemas.openxmlformats.org/officeDocument/2006/relationships" r:id="rId2"/>
          <a:extLst>
            <a:ext uri="{FF2B5EF4-FFF2-40B4-BE49-F238E27FC236}">
              <a16:creationId xmlns:a16="http://schemas.microsoft.com/office/drawing/2014/main" id="{9AC243BA-28A4-4ADC-9B02-E7381839A77A}"/>
            </a:ext>
          </a:extLst>
        </xdr:cNvPr>
        <xdr:cNvSpPr/>
      </xdr:nvSpPr>
      <xdr:spPr>
        <a:xfrm>
          <a:off x="4107180" y="3840480"/>
          <a:ext cx="3076223" cy="1317037"/>
        </a:xfrm>
        <a:prstGeom prst="notchedRightArrow">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a:t>
          </a:r>
          <a:r>
            <a:rPr lang="en-IN" sz="1600" b="1" baseline="0"/>
            <a:t> the Dashboard</a:t>
          </a:r>
          <a:endParaRPr lang="en-IN" sz="16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838923</xdr:colOff>
      <xdr:row>15</xdr:row>
      <xdr:rowOff>22109</xdr:rowOff>
    </xdr:from>
    <xdr:to>
      <xdr:col>8</xdr:col>
      <xdr:colOff>968640</xdr:colOff>
      <xdr:row>40</xdr:row>
      <xdr:rowOff>127539</xdr:rowOff>
    </xdr:to>
    <xdr:graphicFrame macro="">
      <xdr:nvGraphicFramePr>
        <xdr:cNvPr id="2" name="Chart 1">
          <a:extLst>
            <a:ext uri="{FF2B5EF4-FFF2-40B4-BE49-F238E27FC236}">
              <a16:creationId xmlns:a16="http://schemas.microsoft.com/office/drawing/2014/main" id="{3F50F867-E022-A98C-B07F-53B33E0C2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23</xdr:row>
      <xdr:rowOff>0</xdr:rowOff>
    </xdr:from>
    <xdr:to>
      <xdr:col>10</xdr:col>
      <xdr:colOff>1564318</xdr:colOff>
      <xdr:row>30</xdr:row>
      <xdr:rowOff>47037</xdr:rowOff>
    </xdr:to>
    <xdr:sp macro="" textlink="">
      <xdr:nvSpPr>
        <xdr:cNvPr id="3" name="Arrow: Notched Right 2">
          <a:hlinkClick xmlns:r="http://schemas.openxmlformats.org/officeDocument/2006/relationships" r:id="rId2"/>
          <a:extLst>
            <a:ext uri="{FF2B5EF4-FFF2-40B4-BE49-F238E27FC236}">
              <a16:creationId xmlns:a16="http://schemas.microsoft.com/office/drawing/2014/main" id="{0A08D0D2-D550-4CEE-A80C-270560ACC44C}"/>
            </a:ext>
          </a:extLst>
        </xdr:cNvPr>
        <xdr:cNvSpPr/>
      </xdr:nvSpPr>
      <xdr:spPr>
        <a:xfrm>
          <a:off x="15227905" y="4172857"/>
          <a:ext cx="3076223" cy="1317037"/>
        </a:xfrm>
        <a:prstGeom prst="notchedRightArrow">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a:t>
          </a:r>
          <a:r>
            <a:rPr lang="en-IN" sz="1600" b="1" baseline="0"/>
            <a:t> the Dashboard</a:t>
          </a:r>
          <a:endParaRPr lang="en-IN" sz="16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67306</xdr:colOff>
      <xdr:row>3</xdr:row>
      <xdr:rowOff>107907</xdr:rowOff>
    </xdr:from>
    <xdr:to>
      <xdr:col>17</xdr:col>
      <xdr:colOff>192367</xdr:colOff>
      <xdr:row>23</xdr:row>
      <xdr:rowOff>792</xdr:rowOff>
    </xdr:to>
    <xdr:graphicFrame macro="">
      <xdr:nvGraphicFramePr>
        <xdr:cNvPr id="2" name="Chart 1">
          <a:extLst>
            <a:ext uri="{FF2B5EF4-FFF2-40B4-BE49-F238E27FC236}">
              <a16:creationId xmlns:a16="http://schemas.microsoft.com/office/drawing/2014/main" id="{8F89769D-D2FB-771D-16D8-A0290E6C6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25</xdr:row>
      <xdr:rowOff>0</xdr:rowOff>
    </xdr:from>
    <xdr:to>
      <xdr:col>13</xdr:col>
      <xdr:colOff>536223</xdr:colOff>
      <xdr:row>32</xdr:row>
      <xdr:rowOff>29520</xdr:rowOff>
    </xdr:to>
    <xdr:sp macro="" textlink="">
      <xdr:nvSpPr>
        <xdr:cNvPr id="3" name="Arrow: Notched Right 2">
          <a:hlinkClick xmlns:r="http://schemas.openxmlformats.org/officeDocument/2006/relationships" r:id="rId2"/>
          <a:extLst>
            <a:ext uri="{FF2B5EF4-FFF2-40B4-BE49-F238E27FC236}">
              <a16:creationId xmlns:a16="http://schemas.microsoft.com/office/drawing/2014/main" id="{4DC215A6-23E2-455D-A839-AB139918D44D}"/>
            </a:ext>
          </a:extLst>
        </xdr:cNvPr>
        <xdr:cNvSpPr/>
      </xdr:nvSpPr>
      <xdr:spPr>
        <a:xfrm>
          <a:off x="4703379" y="4598276"/>
          <a:ext cx="3076223" cy="1317037"/>
        </a:xfrm>
        <a:prstGeom prst="notchedRightArrow">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a:t>
          </a:r>
          <a:r>
            <a:rPr lang="en-IN" sz="1600" b="1" baseline="0"/>
            <a:t> the Dashboard</a:t>
          </a:r>
          <a:endParaRPr lang="en-IN" sz="16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xdr:colOff>
      <xdr:row>8</xdr:row>
      <xdr:rowOff>133350</xdr:rowOff>
    </xdr:from>
    <xdr:to>
      <xdr:col>10</xdr:col>
      <xdr:colOff>38100</xdr:colOff>
      <xdr:row>22</xdr:row>
      <xdr:rowOff>0</xdr:rowOff>
    </xdr:to>
    <xdr:graphicFrame macro="">
      <xdr:nvGraphicFramePr>
        <xdr:cNvPr id="2" name="Chart 1">
          <a:extLst>
            <a:ext uri="{FF2B5EF4-FFF2-40B4-BE49-F238E27FC236}">
              <a16:creationId xmlns:a16="http://schemas.microsoft.com/office/drawing/2014/main" id="{E6D0BBB9-80B8-6394-9DBF-B5351C031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22860</xdr:colOff>
      <xdr:row>8</xdr:row>
      <xdr:rowOff>129541</xdr:rowOff>
    </xdr:from>
    <xdr:to>
      <xdr:col>15</xdr:col>
      <xdr:colOff>213360</xdr:colOff>
      <xdr:row>13</xdr:row>
      <xdr:rowOff>38100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1606A004-A9CD-9D28-A2FF-269D8D61B01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278880" y="1592581"/>
              <a:ext cx="1828800" cy="82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16</xdr:row>
      <xdr:rowOff>0</xdr:rowOff>
    </xdr:from>
    <xdr:to>
      <xdr:col>17</xdr:col>
      <xdr:colOff>73943</xdr:colOff>
      <xdr:row>23</xdr:row>
      <xdr:rowOff>36877</xdr:rowOff>
    </xdr:to>
    <xdr:sp macro="" textlink="">
      <xdr:nvSpPr>
        <xdr:cNvPr id="4" name="Arrow: Notched Right 3">
          <a:hlinkClick xmlns:r="http://schemas.openxmlformats.org/officeDocument/2006/relationships" r:id="rId2"/>
          <a:extLst>
            <a:ext uri="{FF2B5EF4-FFF2-40B4-BE49-F238E27FC236}">
              <a16:creationId xmlns:a16="http://schemas.microsoft.com/office/drawing/2014/main" id="{A8A1DBB8-8D92-4C7B-8EFC-B806B9DA2730}"/>
            </a:ext>
          </a:extLst>
        </xdr:cNvPr>
        <xdr:cNvSpPr/>
      </xdr:nvSpPr>
      <xdr:spPr>
        <a:xfrm>
          <a:off x="6256020" y="2926080"/>
          <a:ext cx="3076223" cy="1317037"/>
        </a:xfrm>
        <a:prstGeom prst="notchedRightArrow">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a:t>
          </a:r>
          <a:r>
            <a:rPr lang="en-IN" sz="1600" b="1" baseline="0"/>
            <a:t> the Dashboard</a:t>
          </a:r>
          <a:endParaRPr lang="en-IN" sz="16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10</xdr:row>
      <xdr:rowOff>0</xdr:rowOff>
    </xdr:from>
    <xdr:to>
      <xdr:col>3</xdr:col>
      <xdr:colOff>1171223</xdr:colOff>
      <xdr:row>17</xdr:row>
      <xdr:rowOff>36877</xdr:rowOff>
    </xdr:to>
    <xdr:sp macro="" textlink="">
      <xdr:nvSpPr>
        <xdr:cNvPr id="2" name="Arrow: Notched Right 1">
          <a:hlinkClick xmlns:r="http://schemas.openxmlformats.org/officeDocument/2006/relationships" r:id="rId1"/>
          <a:extLst>
            <a:ext uri="{FF2B5EF4-FFF2-40B4-BE49-F238E27FC236}">
              <a16:creationId xmlns:a16="http://schemas.microsoft.com/office/drawing/2014/main" id="{A12CAD45-009D-4627-A40E-53B1395A5852}"/>
            </a:ext>
          </a:extLst>
        </xdr:cNvPr>
        <xdr:cNvSpPr/>
      </xdr:nvSpPr>
      <xdr:spPr>
        <a:xfrm>
          <a:off x="2887980" y="1828800"/>
          <a:ext cx="3076223" cy="1317037"/>
        </a:xfrm>
        <a:prstGeom prst="notchedRightArrow">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a:t>
          </a:r>
          <a:r>
            <a:rPr lang="en-IN" sz="1600" b="1" baseline="0"/>
            <a:t> the Dashboard</a:t>
          </a:r>
          <a:endParaRPr lang="en-IN" sz="1600" b="1"/>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255792</xdr:colOff>
      <xdr:row>0</xdr:row>
      <xdr:rowOff>123832</xdr:rowOff>
    </xdr:from>
    <xdr:to>
      <xdr:col>5</xdr:col>
      <xdr:colOff>230372</xdr:colOff>
      <xdr:row>8</xdr:row>
      <xdr:rowOff>60056</xdr:rowOff>
    </xdr:to>
    <xdr:pic>
      <xdr:nvPicPr>
        <xdr:cNvPr id="3" name="Picture 2">
          <a:extLst>
            <a:ext uri="{FF2B5EF4-FFF2-40B4-BE49-F238E27FC236}">
              <a16:creationId xmlns:a16="http://schemas.microsoft.com/office/drawing/2014/main" id="{53675515-654E-317B-450B-221ACC2A1F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5792" y="123832"/>
          <a:ext cx="2987138" cy="1353898"/>
        </a:xfrm>
        <a:prstGeom prst="rect">
          <a:avLst/>
        </a:prstGeom>
      </xdr:spPr>
    </xdr:pic>
    <xdr:clientData/>
  </xdr:twoCellAnchor>
  <xdr:twoCellAnchor>
    <xdr:from>
      <xdr:col>10</xdr:col>
      <xdr:colOff>509778</xdr:colOff>
      <xdr:row>8</xdr:row>
      <xdr:rowOff>103230</xdr:rowOff>
    </xdr:from>
    <xdr:to>
      <xdr:col>20</xdr:col>
      <xdr:colOff>70883</xdr:colOff>
      <xdr:row>25</xdr:row>
      <xdr:rowOff>21024</xdr:rowOff>
    </xdr:to>
    <xdr:graphicFrame macro="">
      <xdr:nvGraphicFramePr>
        <xdr:cNvPr id="5" name="Chart 4">
          <a:extLst>
            <a:ext uri="{FF2B5EF4-FFF2-40B4-BE49-F238E27FC236}">
              <a16:creationId xmlns:a16="http://schemas.microsoft.com/office/drawing/2014/main" id="{8C673BAB-0CE6-495A-AC14-E8D2ED4D3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167825</xdr:colOff>
      <xdr:row>25</xdr:row>
      <xdr:rowOff>127537</xdr:rowOff>
    </xdr:from>
    <xdr:to>
      <xdr:col>10</xdr:col>
      <xdr:colOff>155729</xdr:colOff>
      <xdr:row>44</xdr:row>
      <xdr:rowOff>132456</xdr:rowOff>
    </xdr:to>
    <xdr:graphicFrame macro="">
      <xdr:nvGraphicFramePr>
        <xdr:cNvPr id="6" name="Chart 5">
          <a:extLst>
            <a:ext uri="{FF2B5EF4-FFF2-40B4-BE49-F238E27FC236}">
              <a16:creationId xmlns:a16="http://schemas.microsoft.com/office/drawing/2014/main" id="{6A131F55-C30F-478F-AD65-CC13B3306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174637</xdr:colOff>
      <xdr:row>8</xdr:row>
      <xdr:rowOff>97277</xdr:rowOff>
    </xdr:from>
    <xdr:to>
      <xdr:col>28</xdr:col>
      <xdr:colOff>389859</xdr:colOff>
      <xdr:row>25</xdr:row>
      <xdr:rowOff>25554</xdr:rowOff>
    </xdr:to>
    <xdr:graphicFrame macro="">
      <xdr:nvGraphicFramePr>
        <xdr:cNvPr id="7" name="Chart 6">
          <a:extLst>
            <a:ext uri="{FF2B5EF4-FFF2-40B4-BE49-F238E27FC236}">
              <a16:creationId xmlns:a16="http://schemas.microsoft.com/office/drawing/2014/main" id="{351B6211-4A3E-4BBE-9083-8D824213C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177209</xdr:colOff>
      <xdr:row>45</xdr:row>
      <xdr:rowOff>129153</xdr:rowOff>
    </xdr:from>
    <xdr:to>
      <xdr:col>28</xdr:col>
      <xdr:colOff>372139</xdr:colOff>
      <xdr:row>72</xdr:row>
      <xdr:rowOff>129153</xdr:rowOff>
    </xdr:to>
    <xdr:graphicFrame macro="">
      <xdr:nvGraphicFramePr>
        <xdr:cNvPr id="8" name="Chart 7">
          <a:extLst>
            <a:ext uri="{FF2B5EF4-FFF2-40B4-BE49-F238E27FC236}">
              <a16:creationId xmlns:a16="http://schemas.microsoft.com/office/drawing/2014/main" id="{C02A6325-70CC-4F85-9C8A-501684831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35442</xdr:colOff>
      <xdr:row>10</xdr:row>
      <xdr:rowOff>141797</xdr:rowOff>
    </xdr:from>
    <xdr:to>
      <xdr:col>3</xdr:col>
      <xdr:colOff>275618</xdr:colOff>
      <xdr:row>23</xdr:row>
      <xdr:rowOff>88131</xdr:rowOff>
    </xdr:to>
    <xdr:sp macro="" textlink="">
      <xdr:nvSpPr>
        <xdr:cNvPr id="10" name="Rectangle: Rounded Corners 9">
          <a:extLst>
            <a:ext uri="{FF2B5EF4-FFF2-40B4-BE49-F238E27FC236}">
              <a16:creationId xmlns:a16="http://schemas.microsoft.com/office/drawing/2014/main" id="{F552AFCA-24F1-596E-7EDF-F11D64092AAD}"/>
            </a:ext>
          </a:extLst>
        </xdr:cNvPr>
        <xdr:cNvSpPr/>
      </xdr:nvSpPr>
      <xdr:spPr>
        <a:xfrm>
          <a:off x="35442" y="2020701"/>
          <a:ext cx="2056450" cy="2388909"/>
        </a:xfrm>
        <a:prstGeom prst="roundRect">
          <a:avLst/>
        </a:prstGeom>
        <a:solidFill>
          <a:srgbClr val="0066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t>Most</a:t>
          </a:r>
          <a:r>
            <a:rPr lang="en-IN" sz="3200" baseline="0"/>
            <a:t> Popular</a:t>
          </a:r>
          <a:endParaRPr lang="en-IN" sz="3200"/>
        </a:p>
      </xdr:txBody>
    </xdr:sp>
    <xdr:clientData/>
  </xdr:twoCellAnchor>
  <xdr:twoCellAnchor>
    <xdr:from>
      <xdr:col>3</xdr:col>
      <xdr:colOff>357689</xdr:colOff>
      <xdr:row>10</xdr:row>
      <xdr:rowOff>165677</xdr:rowOff>
    </xdr:from>
    <xdr:to>
      <xdr:col>7</xdr:col>
      <xdr:colOff>53163</xdr:colOff>
      <xdr:row>23</xdr:row>
      <xdr:rowOff>82826</xdr:rowOff>
    </xdr:to>
    <xdr:sp macro="" textlink="">
      <xdr:nvSpPr>
        <xdr:cNvPr id="11" name="Rectangle: Rounded Corners 10">
          <a:extLst>
            <a:ext uri="{FF2B5EF4-FFF2-40B4-BE49-F238E27FC236}">
              <a16:creationId xmlns:a16="http://schemas.microsoft.com/office/drawing/2014/main" id="{64756BC9-D469-41F6-BBFF-D89146AAE224}"/>
            </a:ext>
          </a:extLst>
        </xdr:cNvPr>
        <xdr:cNvSpPr/>
      </xdr:nvSpPr>
      <xdr:spPr>
        <a:xfrm>
          <a:off x="2196428" y="1987851"/>
          <a:ext cx="2147126" cy="2285975"/>
        </a:xfrm>
        <a:prstGeom prst="roundRect">
          <a:avLst/>
        </a:prstGeom>
        <a:solidFill>
          <a:srgbClr val="33CC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t>Faster Growing</a:t>
          </a:r>
        </a:p>
      </xdr:txBody>
    </xdr:sp>
    <xdr:clientData/>
  </xdr:twoCellAnchor>
  <xdr:twoCellAnchor>
    <xdr:from>
      <xdr:col>7</xdr:col>
      <xdr:colOff>128156</xdr:colOff>
      <xdr:row>10</xdr:row>
      <xdr:rowOff>149087</xdr:rowOff>
    </xdr:from>
    <xdr:to>
      <xdr:col>10</xdr:col>
      <xdr:colOff>405319</xdr:colOff>
      <xdr:row>23</xdr:row>
      <xdr:rowOff>82827</xdr:rowOff>
    </xdr:to>
    <xdr:sp macro="" textlink="">
      <xdr:nvSpPr>
        <xdr:cNvPr id="12" name="Rectangle: Rounded Corners 11">
          <a:extLst>
            <a:ext uri="{FF2B5EF4-FFF2-40B4-BE49-F238E27FC236}">
              <a16:creationId xmlns:a16="http://schemas.microsoft.com/office/drawing/2014/main" id="{58211EFF-E830-4D05-B356-58090CD3FEDE}"/>
            </a:ext>
          </a:extLst>
        </xdr:cNvPr>
        <xdr:cNvSpPr/>
      </xdr:nvSpPr>
      <xdr:spPr>
        <a:xfrm>
          <a:off x="4418547" y="1971261"/>
          <a:ext cx="2115902" cy="2302566"/>
        </a:xfrm>
        <a:prstGeom prst="roundRect">
          <a:avLst/>
        </a:prstGeom>
        <a:solidFill>
          <a:srgbClr val="66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t>Overall</a:t>
          </a:r>
        </a:p>
        <a:p>
          <a:pPr algn="ctr"/>
          <a:r>
            <a:rPr lang="en-IN" sz="3200"/>
            <a:t>Ratings</a:t>
          </a:r>
        </a:p>
      </xdr:txBody>
    </xdr:sp>
    <xdr:clientData/>
  </xdr:twoCellAnchor>
  <xdr:twoCellAnchor>
    <xdr:from>
      <xdr:col>10</xdr:col>
      <xdr:colOff>315210</xdr:colOff>
      <xdr:row>25</xdr:row>
      <xdr:rowOff>132457</xdr:rowOff>
    </xdr:from>
    <xdr:to>
      <xdr:col>23</xdr:col>
      <xdr:colOff>18159</xdr:colOff>
      <xdr:row>44</xdr:row>
      <xdr:rowOff>119541</xdr:rowOff>
    </xdr:to>
    <xdr:graphicFrame macro="">
      <xdr:nvGraphicFramePr>
        <xdr:cNvPr id="13" name="Chart 12">
          <a:extLst>
            <a:ext uri="{FF2B5EF4-FFF2-40B4-BE49-F238E27FC236}">
              <a16:creationId xmlns:a16="http://schemas.microsoft.com/office/drawing/2014/main" id="{9D6603A4-9035-448C-B169-3E357FB3C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140858</xdr:colOff>
      <xdr:row>25</xdr:row>
      <xdr:rowOff>143585</xdr:rowOff>
    </xdr:from>
    <xdr:to>
      <xdr:col>28</xdr:col>
      <xdr:colOff>401055</xdr:colOff>
      <xdr:row>44</xdr:row>
      <xdr:rowOff>143585</xdr:rowOff>
    </xdr:to>
    <xdr:graphicFrame macro="">
      <xdr:nvGraphicFramePr>
        <xdr:cNvPr id="14" name="Chart 13">
          <a:extLst>
            <a:ext uri="{FF2B5EF4-FFF2-40B4-BE49-F238E27FC236}">
              <a16:creationId xmlns:a16="http://schemas.microsoft.com/office/drawing/2014/main" id="{636679F7-2D38-4D4E-9052-D53BA139F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28</xdr:col>
      <xdr:colOff>527538</xdr:colOff>
      <xdr:row>0</xdr:row>
      <xdr:rowOff>136769</xdr:rowOff>
    </xdr:from>
    <xdr:to>
      <xdr:col>33</xdr:col>
      <xdr:colOff>11723</xdr:colOff>
      <xdr:row>28</xdr:row>
      <xdr:rowOff>39077</xdr:rowOff>
    </xdr:to>
    <mc:AlternateContent xmlns:mc="http://schemas.openxmlformats.org/markup-compatibility/2006" xmlns:a14="http://schemas.microsoft.com/office/drawing/2010/main">
      <mc:Choice Requires="a14">
        <xdr:graphicFrame macro="">
          <xdr:nvGraphicFramePr>
            <xdr:cNvPr id="15" name="AI Tool Name 1">
              <a:extLst>
                <a:ext uri="{FF2B5EF4-FFF2-40B4-BE49-F238E27FC236}">
                  <a16:creationId xmlns:a16="http://schemas.microsoft.com/office/drawing/2014/main" id="{73749386-7C60-4578-A4E7-16066B4D1E27}"/>
                </a:ext>
              </a:extLst>
            </xdr:cNvPr>
            <xdr:cNvGraphicFramePr/>
          </xdr:nvGraphicFramePr>
          <xdr:xfrm>
            <a:off x="0" y="0"/>
            <a:ext cx="0" cy="0"/>
          </xdr:xfrm>
          <a:graphic>
            <a:graphicData uri="http://schemas.microsoft.com/office/drawing/2010/slicer">
              <sle:slicer xmlns:sle="http://schemas.microsoft.com/office/drawing/2010/slicer" name="AI Tool Name 1"/>
            </a:graphicData>
          </a:graphic>
        </xdr:graphicFrame>
      </mc:Choice>
      <mc:Fallback xmlns="">
        <xdr:sp macro="" textlink="">
          <xdr:nvSpPr>
            <xdr:cNvPr id="0" name=""/>
            <xdr:cNvSpPr>
              <a:spLocks noTextEdit="1"/>
            </xdr:cNvSpPr>
          </xdr:nvSpPr>
          <xdr:spPr>
            <a:xfrm>
              <a:off x="17733990" y="136769"/>
              <a:ext cx="2556765" cy="5064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198783</xdr:colOff>
      <xdr:row>16</xdr:row>
      <xdr:rowOff>149086</xdr:rowOff>
    </xdr:from>
    <xdr:to>
      <xdr:col>3</xdr:col>
      <xdr:colOff>136153</xdr:colOff>
      <xdr:row>21</xdr:row>
      <xdr:rowOff>115956</xdr:rowOff>
    </xdr:to>
    <xdr:sp macro="" textlink="Cards!A6">
      <xdr:nvSpPr>
        <xdr:cNvPr id="17" name="Flowchart: Terminator 16">
          <a:extLst>
            <a:ext uri="{FF2B5EF4-FFF2-40B4-BE49-F238E27FC236}">
              <a16:creationId xmlns:a16="http://schemas.microsoft.com/office/drawing/2014/main" id="{562EE10A-2724-CE3D-9D41-8A1730D73E06}"/>
            </a:ext>
          </a:extLst>
        </xdr:cNvPr>
        <xdr:cNvSpPr/>
      </xdr:nvSpPr>
      <xdr:spPr>
        <a:xfrm>
          <a:off x="198783" y="3064564"/>
          <a:ext cx="1776109" cy="877957"/>
        </a:xfrm>
        <a:prstGeom prst="flowChartTerminator">
          <a:avLst/>
        </a:prstGeom>
        <a:solidFill>
          <a:srgbClr val="0066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178AD0-7D0B-4950-8BED-8B580C7955F4}" type="TxLink">
            <a:rPr lang="en-US" sz="3600" b="1" i="0" u="none" strike="noStrike">
              <a:solidFill>
                <a:schemeClr val="bg1">
                  <a:lumMod val="95000"/>
                </a:schemeClr>
              </a:solidFill>
              <a:latin typeface="Calibri"/>
              <a:ea typeface="Calibri"/>
              <a:cs typeface="Calibri"/>
            </a:rPr>
            <a:pPr algn="ctr"/>
            <a:t>18190</a:t>
          </a:fld>
          <a:endParaRPr lang="en-IN" sz="3600" b="1">
            <a:solidFill>
              <a:schemeClr val="bg1">
                <a:lumMod val="95000"/>
              </a:schemeClr>
            </a:solidFill>
          </a:endParaRPr>
        </a:p>
      </xdr:txBody>
    </xdr:sp>
    <xdr:clientData/>
  </xdr:twoCellAnchor>
  <xdr:twoCellAnchor>
    <xdr:from>
      <xdr:col>3</xdr:col>
      <xdr:colOff>414130</xdr:colOff>
      <xdr:row>17</xdr:row>
      <xdr:rowOff>165650</xdr:rowOff>
    </xdr:from>
    <xdr:to>
      <xdr:col>7</xdr:col>
      <xdr:colOff>16565</xdr:colOff>
      <xdr:row>21</xdr:row>
      <xdr:rowOff>49696</xdr:rowOff>
    </xdr:to>
    <xdr:sp macro="" textlink="Cards!B6">
      <xdr:nvSpPr>
        <xdr:cNvPr id="18" name="Flowchart: Terminator 17">
          <a:extLst>
            <a:ext uri="{FF2B5EF4-FFF2-40B4-BE49-F238E27FC236}">
              <a16:creationId xmlns:a16="http://schemas.microsoft.com/office/drawing/2014/main" id="{CE686BCB-46A8-3E11-F5A8-9A54D1BB59D8}"/>
            </a:ext>
          </a:extLst>
        </xdr:cNvPr>
        <xdr:cNvSpPr/>
      </xdr:nvSpPr>
      <xdr:spPr>
        <a:xfrm>
          <a:off x="2252869" y="3263346"/>
          <a:ext cx="2054087" cy="612915"/>
        </a:xfrm>
        <a:prstGeom prst="flowChartTerminator">
          <a:avLst/>
        </a:prstGeom>
        <a:solidFill>
          <a:srgbClr val="33CC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F9E3FA-1A53-4204-BB68-743EC138B72C}" type="TxLink">
            <a:rPr lang="en-US" sz="3200" b="1" i="0" u="none" strike="noStrike">
              <a:solidFill>
                <a:schemeClr val="bg1">
                  <a:lumMod val="95000"/>
                </a:schemeClr>
              </a:solidFill>
              <a:latin typeface="Calibri"/>
              <a:ea typeface="Calibri"/>
              <a:cs typeface="Calibri"/>
            </a:rPr>
            <a:pPr algn="ctr"/>
            <a:t>121200%</a:t>
          </a:fld>
          <a:endParaRPr lang="en-IN" sz="3200" b="1">
            <a:solidFill>
              <a:schemeClr val="bg1">
                <a:lumMod val="95000"/>
              </a:schemeClr>
            </a:solidFill>
          </a:endParaRPr>
        </a:p>
      </xdr:txBody>
    </xdr:sp>
    <xdr:clientData/>
  </xdr:twoCellAnchor>
  <xdr:twoCellAnchor>
    <xdr:from>
      <xdr:col>7</xdr:col>
      <xdr:colOff>215348</xdr:colOff>
      <xdr:row>17</xdr:row>
      <xdr:rowOff>0</xdr:rowOff>
    </xdr:from>
    <xdr:to>
      <xdr:col>10</xdr:col>
      <xdr:colOff>198782</xdr:colOff>
      <xdr:row>22</xdr:row>
      <xdr:rowOff>0</xdr:rowOff>
    </xdr:to>
    <xdr:sp macro="" textlink="Cards!D6">
      <xdr:nvSpPr>
        <xdr:cNvPr id="19" name="Flowchart: Terminator 18">
          <a:extLst>
            <a:ext uri="{FF2B5EF4-FFF2-40B4-BE49-F238E27FC236}">
              <a16:creationId xmlns:a16="http://schemas.microsoft.com/office/drawing/2014/main" id="{9AA02798-B067-F7D0-7A29-E649265A21DB}"/>
            </a:ext>
          </a:extLst>
        </xdr:cNvPr>
        <xdr:cNvSpPr/>
      </xdr:nvSpPr>
      <xdr:spPr>
        <a:xfrm>
          <a:off x="4505739" y="3097696"/>
          <a:ext cx="1822173" cy="911087"/>
        </a:xfrm>
        <a:prstGeom prst="flowChartTerminator">
          <a:avLst/>
        </a:prstGeom>
        <a:solidFill>
          <a:srgbClr val="6600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FB06E5-7854-46A4-898D-76F074412898}" type="TxLink">
            <a:rPr lang="en-US" sz="3600" b="1" i="0" u="none" strike="noStrike">
              <a:solidFill>
                <a:schemeClr val="bg1">
                  <a:lumMod val="95000"/>
                </a:schemeClr>
              </a:solidFill>
              <a:latin typeface="Calibri"/>
              <a:ea typeface="Calibri"/>
              <a:cs typeface="Calibri"/>
            </a:rPr>
            <a:pPr algn="ctr"/>
            <a:t>4.57</a:t>
          </a:fld>
          <a:endParaRPr lang="en-IN" sz="3600" b="1">
            <a:solidFill>
              <a:schemeClr val="bg1">
                <a:lumMod val="95000"/>
              </a:schemeClr>
            </a:solidFill>
          </a:endParaRPr>
        </a:p>
      </xdr:txBody>
    </xdr:sp>
    <xdr:clientData/>
  </xdr:twoCellAnchor>
  <xdr:twoCellAnchor editAs="oneCell">
    <xdr:from>
      <xdr:col>28</xdr:col>
      <xdr:colOff>513907</xdr:colOff>
      <xdr:row>29</xdr:row>
      <xdr:rowOff>-1</xdr:rowOff>
    </xdr:from>
    <xdr:to>
      <xdr:col>33</xdr:col>
      <xdr:colOff>17721</xdr:colOff>
      <xdr:row>46</xdr:row>
      <xdr:rowOff>141766</xdr:rowOff>
    </xdr:to>
    <mc:AlternateContent xmlns:mc="http://schemas.openxmlformats.org/markup-compatibility/2006" xmlns:a14="http://schemas.microsoft.com/office/drawing/2010/main">
      <mc:Choice Requires="a14">
        <xdr:graphicFrame macro="">
          <xdr:nvGraphicFramePr>
            <xdr:cNvPr id="20" name="Month 1">
              <a:extLst>
                <a:ext uri="{FF2B5EF4-FFF2-40B4-BE49-F238E27FC236}">
                  <a16:creationId xmlns:a16="http://schemas.microsoft.com/office/drawing/2014/main" id="{A8375014-02B6-412D-8402-794D4B7EE53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7720359" y="5346289"/>
              <a:ext cx="2576394" cy="327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531627</xdr:colOff>
      <xdr:row>53</xdr:row>
      <xdr:rowOff>0</xdr:rowOff>
    </xdr:from>
    <xdr:to>
      <xdr:col>33</xdr:col>
      <xdr:colOff>0</xdr:colOff>
      <xdr:row>72</xdr:row>
      <xdr:rowOff>141767</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F91D4020-923A-402E-96A7-AD1E06226DB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738079" y="9770806"/>
              <a:ext cx="2540953" cy="3644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567068</xdr:colOff>
      <xdr:row>47</xdr:row>
      <xdr:rowOff>53163</xdr:rowOff>
    </xdr:from>
    <xdr:to>
      <xdr:col>33</xdr:col>
      <xdr:colOff>0</xdr:colOff>
      <xdr:row>52</xdr:row>
      <xdr:rowOff>88604</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A50237DE-AA68-41C4-92EE-920B7C243DF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773520" y="8717840"/>
              <a:ext cx="2505512" cy="957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460744</xdr:colOff>
      <xdr:row>0</xdr:row>
      <xdr:rowOff>124047</xdr:rowOff>
    </xdr:from>
    <xdr:to>
      <xdr:col>28</xdr:col>
      <xdr:colOff>407581</xdr:colOff>
      <xdr:row>8</xdr:row>
      <xdr:rowOff>0</xdr:rowOff>
    </xdr:to>
    <xdr:sp macro="" textlink="">
      <xdr:nvSpPr>
        <xdr:cNvPr id="24" name="Rectangle: Rounded Corners 23">
          <a:extLst>
            <a:ext uri="{FF2B5EF4-FFF2-40B4-BE49-F238E27FC236}">
              <a16:creationId xmlns:a16="http://schemas.microsoft.com/office/drawing/2014/main" id="{DAD8FC92-096F-1FA0-517B-D85F890E8AFB}"/>
            </a:ext>
          </a:extLst>
        </xdr:cNvPr>
        <xdr:cNvSpPr/>
      </xdr:nvSpPr>
      <xdr:spPr>
        <a:xfrm>
          <a:off x="3473302" y="124047"/>
          <a:ext cx="13804605" cy="1293627"/>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solidFill>
                <a:schemeClr val="bg1">
                  <a:lumMod val="95000"/>
                </a:schemeClr>
              </a:solidFill>
            </a:rPr>
            <a:t>AI Tool</a:t>
          </a:r>
          <a:r>
            <a:rPr lang="en-IN" sz="4800" b="1" baseline="0">
              <a:solidFill>
                <a:schemeClr val="bg1">
                  <a:lumMod val="95000"/>
                </a:schemeClr>
              </a:solidFill>
            </a:rPr>
            <a:t> Popularity Dashboard</a:t>
          </a:r>
          <a:endParaRPr lang="en-IN" sz="4800" b="1">
            <a:solidFill>
              <a:schemeClr val="bg1">
                <a:lumMod val="95000"/>
              </a:schemeClr>
            </a:solidFill>
          </a:endParaRPr>
        </a:p>
      </xdr:txBody>
    </xdr:sp>
    <xdr:clientData/>
  </xdr:twoCellAnchor>
  <xdr:twoCellAnchor>
    <xdr:from>
      <xdr:col>33</xdr:col>
      <xdr:colOff>108858</xdr:colOff>
      <xdr:row>1</xdr:row>
      <xdr:rowOff>0</xdr:rowOff>
    </xdr:from>
    <xdr:to>
      <xdr:col>36</xdr:col>
      <xdr:colOff>195944</xdr:colOff>
      <xdr:row>72</xdr:row>
      <xdr:rowOff>87085</xdr:rowOff>
    </xdr:to>
    <xdr:sp macro="" textlink="">
      <xdr:nvSpPr>
        <xdr:cNvPr id="25" name="Rectangle: Diagonal Corners Rounded 24">
          <a:extLst>
            <a:ext uri="{FF2B5EF4-FFF2-40B4-BE49-F238E27FC236}">
              <a16:creationId xmlns:a16="http://schemas.microsoft.com/office/drawing/2014/main" id="{2E5CAE2E-49A5-5739-780F-C30F0F1179CE}"/>
            </a:ext>
          </a:extLst>
        </xdr:cNvPr>
        <xdr:cNvSpPr/>
      </xdr:nvSpPr>
      <xdr:spPr>
        <a:xfrm>
          <a:off x="20225658" y="174171"/>
          <a:ext cx="1915886" cy="12453257"/>
        </a:xfrm>
        <a:prstGeom prst="round2Diag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33</xdr:col>
      <xdr:colOff>239486</xdr:colOff>
      <xdr:row>25</xdr:row>
      <xdr:rowOff>65314</xdr:rowOff>
    </xdr:from>
    <xdr:to>
      <xdr:col>35</xdr:col>
      <xdr:colOff>566057</xdr:colOff>
      <xdr:row>36</xdr:row>
      <xdr:rowOff>108857</xdr:rowOff>
    </xdr:to>
    <xdr:pic>
      <xdr:nvPicPr>
        <xdr:cNvPr id="27" name="Graphic 26" descr="Playbook with solid fill">
          <a:hlinkClick xmlns:r="http://schemas.openxmlformats.org/officeDocument/2006/relationships" r:id="rId8"/>
          <a:extLst>
            <a:ext uri="{FF2B5EF4-FFF2-40B4-BE49-F238E27FC236}">
              <a16:creationId xmlns:a16="http://schemas.microsoft.com/office/drawing/2014/main" id="{E3A7ACDB-2C62-C2E6-D3BB-8FF32CB60A5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356286" y="4419600"/>
          <a:ext cx="1545771" cy="1959428"/>
        </a:xfrm>
        <a:prstGeom prst="rect">
          <a:avLst/>
        </a:prstGeom>
      </xdr:spPr>
    </xdr:pic>
    <xdr:clientData/>
  </xdr:twoCellAnchor>
  <xdr:twoCellAnchor editAs="oneCell">
    <xdr:from>
      <xdr:col>33</xdr:col>
      <xdr:colOff>239484</xdr:colOff>
      <xdr:row>36</xdr:row>
      <xdr:rowOff>65315</xdr:rowOff>
    </xdr:from>
    <xdr:to>
      <xdr:col>35</xdr:col>
      <xdr:colOff>566055</xdr:colOff>
      <xdr:row>47</xdr:row>
      <xdr:rowOff>130629</xdr:rowOff>
    </xdr:to>
    <xdr:pic>
      <xdr:nvPicPr>
        <xdr:cNvPr id="28" name="Graphic 27" descr="Playbook with solid fill">
          <a:hlinkClick xmlns:r="http://schemas.openxmlformats.org/officeDocument/2006/relationships" r:id="rId11"/>
          <a:extLst>
            <a:ext uri="{FF2B5EF4-FFF2-40B4-BE49-F238E27FC236}">
              <a16:creationId xmlns:a16="http://schemas.microsoft.com/office/drawing/2014/main" id="{CE1F21BD-3EA7-4132-9AC1-9B6DF798D7B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356284" y="6335486"/>
          <a:ext cx="1545771" cy="1981200"/>
        </a:xfrm>
        <a:prstGeom prst="rect">
          <a:avLst/>
        </a:prstGeom>
      </xdr:spPr>
    </xdr:pic>
    <xdr:clientData/>
  </xdr:twoCellAnchor>
  <xdr:twoCellAnchor editAs="oneCell">
    <xdr:from>
      <xdr:col>33</xdr:col>
      <xdr:colOff>239486</xdr:colOff>
      <xdr:row>14</xdr:row>
      <xdr:rowOff>43542</xdr:rowOff>
    </xdr:from>
    <xdr:to>
      <xdr:col>35</xdr:col>
      <xdr:colOff>566057</xdr:colOff>
      <xdr:row>25</xdr:row>
      <xdr:rowOff>87084</xdr:rowOff>
    </xdr:to>
    <xdr:pic>
      <xdr:nvPicPr>
        <xdr:cNvPr id="29" name="Graphic 28" descr="Playbook with solid fill">
          <a:hlinkClick xmlns:r="http://schemas.openxmlformats.org/officeDocument/2006/relationships" r:id="rId12"/>
          <a:extLst>
            <a:ext uri="{FF2B5EF4-FFF2-40B4-BE49-F238E27FC236}">
              <a16:creationId xmlns:a16="http://schemas.microsoft.com/office/drawing/2014/main" id="{59B9F142-A82F-4C5F-A199-C69EC15417E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356286" y="2481942"/>
          <a:ext cx="1545771" cy="1959428"/>
        </a:xfrm>
        <a:prstGeom prst="rect">
          <a:avLst/>
        </a:prstGeom>
      </xdr:spPr>
    </xdr:pic>
    <xdr:clientData/>
  </xdr:twoCellAnchor>
  <xdr:twoCellAnchor editAs="oneCell">
    <xdr:from>
      <xdr:col>33</xdr:col>
      <xdr:colOff>217713</xdr:colOff>
      <xdr:row>47</xdr:row>
      <xdr:rowOff>108858</xdr:rowOff>
    </xdr:from>
    <xdr:to>
      <xdr:col>35</xdr:col>
      <xdr:colOff>544284</xdr:colOff>
      <xdr:row>60</xdr:row>
      <xdr:rowOff>0</xdr:rowOff>
    </xdr:to>
    <xdr:pic>
      <xdr:nvPicPr>
        <xdr:cNvPr id="30" name="Graphic 29" descr="Playbook with solid fill">
          <a:hlinkClick xmlns:r="http://schemas.openxmlformats.org/officeDocument/2006/relationships" r:id="rId13"/>
          <a:extLst>
            <a:ext uri="{FF2B5EF4-FFF2-40B4-BE49-F238E27FC236}">
              <a16:creationId xmlns:a16="http://schemas.microsoft.com/office/drawing/2014/main" id="{EADA167D-22B0-4F04-B4EE-48F061F2FA5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334513" y="8294915"/>
          <a:ext cx="1545771" cy="2155371"/>
        </a:xfrm>
        <a:prstGeom prst="rect">
          <a:avLst/>
        </a:prstGeom>
      </xdr:spPr>
    </xdr:pic>
    <xdr:clientData/>
  </xdr:twoCellAnchor>
  <xdr:twoCellAnchor editAs="oneCell">
    <xdr:from>
      <xdr:col>33</xdr:col>
      <xdr:colOff>217714</xdr:colOff>
      <xdr:row>59</xdr:row>
      <xdr:rowOff>152400</xdr:rowOff>
    </xdr:from>
    <xdr:to>
      <xdr:col>35</xdr:col>
      <xdr:colOff>544285</xdr:colOff>
      <xdr:row>71</xdr:row>
      <xdr:rowOff>65315</xdr:rowOff>
    </xdr:to>
    <xdr:pic>
      <xdr:nvPicPr>
        <xdr:cNvPr id="31" name="Graphic 30" descr="Playbook with solid fill">
          <a:hlinkClick xmlns:r="http://schemas.openxmlformats.org/officeDocument/2006/relationships" r:id="rId14"/>
          <a:extLst>
            <a:ext uri="{FF2B5EF4-FFF2-40B4-BE49-F238E27FC236}">
              <a16:creationId xmlns:a16="http://schemas.microsoft.com/office/drawing/2014/main" id="{0AF99EF9-4D91-4FA4-ACC9-317E27794E5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334514" y="10428514"/>
          <a:ext cx="1545771" cy="2002972"/>
        </a:xfrm>
        <a:prstGeom prst="rect">
          <a:avLst/>
        </a:prstGeom>
      </xdr:spPr>
    </xdr:pic>
    <xdr:clientData/>
  </xdr:twoCellAnchor>
  <xdr:twoCellAnchor editAs="oneCell">
    <xdr:from>
      <xdr:col>33</xdr:col>
      <xdr:colOff>239486</xdr:colOff>
      <xdr:row>2</xdr:row>
      <xdr:rowOff>152400</xdr:rowOff>
    </xdr:from>
    <xdr:to>
      <xdr:col>35</xdr:col>
      <xdr:colOff>566057</xdr:colOff>
      <xdr:row>13</xdr:row>
      <xdr:rowOff>152400</xdr:rowOff>
    </xdr:to>
    <xdr:pic>
      <xdr:nvPicPr>
        <xdr:cNvPr id="32" name="Graphic 31" descr="Playbook with solid fill">
          <a:hlinkClick xmlns:r="http://schemas.openxmlformats.org/officeDocument/2006/relationships" r:id="rId15"/>
          <a:extLst>
            <a:ext uri="{FF2B5EF4-FFF2-40B4-BE49-F238E27FC236}">
              <a16:creationId xmlns:a16="http://schemas.microsoft.com/office/drawing/2014/main" id="{A93EB795-FCFF-40C9-A8EA-4F500B16B1C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356286" y="500743"/>
          <a:ext cx="1545771" cy="1915886"/>
        </a:xfrm>
        <a:prstGeom prst="rect">
          <a:avLst/>
        </a:prstGeom>
      </xdr:spPr>
    </xdr:pic>
    <xdr:clientData/>
  </xdr:twoCellAnchor>
  <xdr:twoCellAnchor>
    <xdr:from>
      <xdr:col>33</xdr:col>
      <xdr:colOff>285750</xdr:colOff>
      <xdr:row>12</xdr:row>
      <xdr:rowOff>63500</xdr:rowOff>
    </xdr:from>
    <xdr:to>
      <xdr:col>36</xdr:col>
      <xdr:colOff>47625</xdr:colOff>
      <xdr:row>14</xdr:row>
      <xdr:rowOff>174625</xdr:rowOff>
    </xdr:to>
    <xdr:sp macro="" textlink="">
      <xdr:nvSpPr>
        <xdr:cNvPr id="2" name="Rectangle 1">
          <a:extLst>
            <a:ext uri="{FF2B5EF4-FFF2-40B4-BE49-F238E27FC236}">
              <a16:creationId xmlns:a16="http://schemas.microsoft.com/office/drawing/2014/main" id="{2CC8CE82-F9FC-3236-B493-37FFC40631F1}"/>
            </a:ext>
          </a:extLst>
        </xdr:cNvPr>
        <xdr:cNvSpPr/>
      </xdr:nvSpPr>
      <xdr:spPr>
        <a:xfrm>
          <a:off x="20193000" y="2349500"/>
          <a:ext cx="1571625" cy="492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254000</xdr:colOff>
      <xdr:row>12</xdr:row>
      <xdr:rowOff>127000</xdr:rowOff>
    </xdr:from>
    <xdr:to>
      <xdr:col>36</xdr:col>
      <xdr:colOff>63500</xdr:colOff>
      <xdr:row>15</xdr:row>
      <xdr:rowOff>79375</xdr:rowOff>
    </xdr:to>
    <xdr:sp macro="" textlink="">
      <xdr:nvSpPr>
        <xdr:cNvPr id="4" name="Rectangle 3">
          <a:extLst>
            <a:ext uri="{FF2B5EF4-FFF2-40B4-BE49-F238E27FC236}">
              <a16:creationId xmlns:a16="http://schemas.microsoft.com/office/drawing/2014/main" id="{EB455E69-DC4C-2519-EA5F-8080A2124F0C}"/>
            </a:ext>
          </a:extLst>
        </xdr:cNvPr>
        <xdr:cNvSpPr/>
      </xdr:nvSpPr>
      <xdr:spPr>
        <a:xfrm>
          <a:off x="20161250" y="2413000"/>
          <a:ext cx="1619250" cy="523875"/>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KPI1</a:t>
          </a:r>
        </a:p>
      </xdr:txBody>
    </xdr:sp>
    <xdr:clientData/>
  </xdr:twoCellAnchor>
  <xdr:twoCellAnchor>
    <xdr:from>
      <xdr:col>33</xdr:col>
      <xdr:colOff>223158</xdr:colOff>
      <xdr:row>58</xdr:row>
      <xdr:rowOff>103051</xdr:rowOff>
    </xdr:from>
    <xdr:to>
      <xdr:col>36</xdr:col>
      <xdr:colOff>32658</xdr:colOff>
      <xdr:row>61</xdr:row>
      <xdr:rowOff>63046</xdr:rowOff>
    </xdr:to>
    <xdr:sp macro="" textlink="">
      <xdr:nvSpPr>
        <xdr:cNvPr id="9" name="Rectangle 8">
          <a:extLst>
            <a:ext uri="{FF2B5EF4-FFF2-40B4-BE49-F238E27FC236}">
              <a16:creationId xmlns:a16="http://schemas.microsoft.com/office/drawing/2014/main" id="{955DEF92-9A3C-4B6A-8170-0AF986161418}"/>
            </a:ext>
          </a:extLst>
        </xdr:cNvPr>
        <xdr:cNvSpPr/>
      </xdr:nvSpPr>
      <xdr:spPr>
        <a:xfrm>
          <a:off x="20130408" y="11152051"/>
          <a:ext cx="1619250" cy="531495"/>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KPI5</a:t>
          </a:r>
        </a:p>
      </xdr:txBody>
    </xdr:sp>
    <xdr:clientData/>
  </xdr:twoCellAnchor>
  <xdr:twoCellAnchor>
    <xdr:from>
      <xdr:col>33</xdr:col>
      <xdr:colOff>185058</xdr:colOff>
      <xdr:row>69</xdr:row>
      <xdr:rowOff>120196</xdr:rowOff>
    </xdr:from>
    <xdr:to>
      <xdr:col>35</xdr:col>
      <xdr:colOff>597808</xdr:colOff>
      <xdr:row>72</xdr:row>
      <xdr:rowOff>15875</xdr:rowOff>
    </xdr:to>
    <xdr:sp macro="" textlink="">
      <xdr:nvSpPr>
        <xdr:cNvPr id="16" name="Rectangle 15">
          <a:extLst>
            <a:ext uri="{FF2B5EF4-FFF2-40B4-BE49-F238E27FC236}">
              <a16:creationId xmlns:a16="http://schemas.microsoft.com/office/drawing/2014/main" id="{EC019BD8-8A31-40FD-A199-14B03A264FFC}"/>
            </a:ext>
          </a:extLst>
        </xdr:cNvPr>
        <xdr:cNvSpPr/>
      </xdr:nvSpPr>
      <xdr:spPr>
        <a:xfrm>
          <a:off x="20092308" y="13264696"/>
          <a:ext cx="1619250" cy="467179"/>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KPI6</a:t>
          </a:r>
        </a:p>
      </xdr:txBody>
    </xdr:sp>
    <xdr:clientData/>
  </xdr:twoCellAnchor>
  <xdr:twoCellAnchor>
    <xdr:from>
      <xdr:col>33</xdr:col>
      <xdr:colOff>258083</xdr:colOff>
      <xdr:row>46</xdr:row>
      <xdr:rowOff>50346</xdr:rowOff>
    </xdr:from>
    <xdr:to>
      <xdr:col>36</xdr:col>
      <xdr:colOff>67583</xdr:colOff>
      <xdr:row>49</xdr:row>
      <xdr:rowOff>2721</xdr:rowOff>
    </xdr:to>
    <xdr:sp macro="" textlink="">
      <xdr:nvSpPr>
        <xdr:cNvPr id="23" name="Rectangle 22">
          <a:extLst>
            <a:ext uri="{FF2B5EF4-FFF2-40B4-BE49-F238E27FC236}">
              <a16:creationId xmlns:a16="http://schemas.microsoft.com/office/drawing/2014/main" id="{F666B477-B949-4FB8-8279-7F949FA842A8}"/>
            </a:ext>
          </a:extLst>
        </xdr:cNvPr>
        <xdr:cNvSpPr/>
      </xdr:nvSpPr>
      <xdr:spPr>
        <a:xfrm>
          <a:off x="20165333" y="8813346"/>
          <a:ext cx="1619250" cy="523875"/>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KPI4</a:t>
          </a:r>
        </a:p>
      </xdr:txBody>
    </xdr:sp>
    <xdr:clientData/>
  </xdr:twoCellAnchor>
  <xdr:twoCellAnchor>
    <xdr:from>
      <xdr:col>33</xdr:col>
      <xdr:colOff>251733</xdr:colOff>
      <xdr:row>35</xdr:row>
      <xdr:rowOff>28121</xdr:rowOff>
    </xdr:from>
    <xdr:to>
      <xdr:col>36</xdr:col>
      <xdr:colOff>61233</xdr:colOff>
      <xdr:row>37</xdr:row>
      <xdr:rowOff>170996</xdr:rowOff>
    </xdr:to>
    <xdr:sp macro="" textlink="">
      <xdr:nvSpPr>
        <xdr:cNvPr id="26" name="Rectangle 25">
          <a:extLst>
            <a:ext uri="{FF2B5EF4-FFF2-40B4-BE49-F238E27FC236}">
              <a16:creationId xmlns:a16="http://schemas.microsoft.com/office/drawing/2014/main" id="{64051913-CF82-4646-9DD5-CE4502A62068}"/>
            </a:ext>
          </a:extLst>
        </xdr:cNvPr>
        <xdr:cNvSpPr/>
      </xdr:nvSpPr>
      <xdr:spPr>
        <a:xfrm>
          <a:off x="20158983" y="6695621"/>
          <a:ext cx="1619250" cy="523875"/>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KPI3</a:t>
          </a:r>
        </a:p>
      </xdr:txBody>
    </xdr:sp>
    <xdr:clientData/>
  </xdr:twoCellAnchor>
  <xdr:twoCellAnchor>
    <xdr:from>
      <xdr:col>33</xdr:col>
      <xdr:colOff>229508</xdr:colOff>
      <xdr:row>24</xdr:row>
      <xdr:rowOff>21771</xdr:rowOff>
    </xdr:from>
    <xdr:to>
      <xdr:col>36</xdr:col>
      <xdr:colOff>39008</xdr:colOff>
      <xdr:row>26</xdr:row>
      <xdr:rowOff>164646</xdr:rowOff>
    </xdr:to>
    <xdr:sp macro="" textlink="">
      <xdr:nvSpPr>
        <xdr:cNvPr id="33" name="Rectangle 32">
          <a:extLst>
            <a:ext uri="{FF2B5EF4-FFF2-40B4-BE49-F238E27FC236}">
              <a16:creationId xmlns:a16="http://schemas.microsoft.com/office/drawing/2014/main" id="{2AE3C565-38F0-44ED-9893-95BFDD9E7E80}"/>
            </a:ext>
          </a:extLst>
        </xdr:cNvPr>
        <xdr:cNvSpPr/>
      </xdr:nvSpPr>
      <xdr:spPr>
        <a:xfrm>
          <a:off x="20136758" y="4593771"/>
          <a:ext cx="1619250" cy="523875"/>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KPI2</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0.591749074076" missingItemsLimit="0" createdVersion="8" refreshedVersion="8" minRefreshableVersion="3" recordCount="440" xr:uid="{F83A3AAA-4D9E-494D-A8D2-7238A45F9E37}">
  <cacheSource type="worksheet">
    <worksheetSource ref="A1:J441" sheet="Data"/>
  </cacheSource>
  <cacheFields count="10">
    <cacheField name="ID" numFmtId="0">
      <sharedItems containsSemiMixedTypes="0" containsString="0" containsNumber="1" containsInteger="1" minValue="1" maxValue="440"/>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4" maxValue="2025" count="2">
        <n v="2024"/>
        <n v="2025"/>
      </sharedItems>
    </cacheField>
    <cacheField name="AI Tool Name" numFmtId="0">
      <sharedItems count="20">
        <s v="ChatGPT"/>
        <s v="Gemini"/>
        <s v="Claude"/>
        <s v="Microsoft Copilot"/>
        <s v="Midjourney"/>
        <s v="DALL·E"/>
        <s v="Notion AI"/>
        <s v="Jasper AI"/>
        <s v="Synthesia"/>
        <s v="Runway ML"/>
        <s v="Perplexity AI"/>
        <s v="Canva Magic Studio"/>
        <s v="Poe AI"/>
        <s v="Character AI"/>
        <s v="DeepL"/>
        <s v="ElevenLabs"/>
        <s v="Replit Ghostwriter"/>
        <s v="GrammarlyGO"/>
        <s v="Sora"/>
        <s v="Descript"/>
      </sharedItems>
    </cacheField>
    <cacheField name="Category" numFmtId="0">
      <sharedItems count="12">
        <s v="Conversational AI"/>
        <s v="Coding AI"/>
        <s v="Image Generation"/>
        <s v="Productivity AI"/>
        <s v="Writing AI"/>
        <s v="Video AI"/>
        <s v="Search AI"/>
        <s v="Design AI"/>
        <s v="Chat Aggregator"/>
        <s v="Translation AI"/>
        <s v="Voice AI"/>
        <s v="Audio AI"/>
      </sharedItems>
    </cacheField>
    <cacheField name="Active Users (Millions)" numFmtId="0">
      <sharedItems containsSemiMixedTypes="0" containsString="0" containsNumber="1" containsInteger="1" minValue="11" maxValue="180"/>
    </cacheField>
    <cacheField name="Growth %" numFmtId="0">
      <sharedItems containsSemiMixedTypes="0" containsString="0" containsNumber="1" minValue="2" maxValue="10"/>
    </cacheField>
    <cacheField name="Social Mentions" numFmtId="0">
      <sharedItems containsSemiMixedTypes="0" containsString="0" containsNumber="1" containsInteger="1" minValue="100172" maxValue="897754"/>
    </cacheField>
    <cacheField name="Website Visits (Millions)" numFmtId="0">
      <sharedItems containsSemiMixedTypes="0" containsString="0" containsNumber="1" containsInteger="1" minValue="20" maxValue="250"/>
    </cacheField>
    <cacheField name="Rating (Out of 5)" numFmtId="0">
      <sharedItems containsSemiMixedTypes="0" containsString="0" containsNumber="1" minValue="4.2" maxValue="4.9000000000000004"/>
    </cacheField>
  </cacheFields>
  <extLst>
    <ext xmlns:x14="http://schemas.microsoft.com/office/spreadsheetml/2009/9/main" uri="{725AE2AE-9491-48be-B2B4-4EB974FC3084}">
      <x14:pivotCacheDefinition pivotCacheId="1816553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0">
  <r>
    <n v="1"/>
    <x v="0"/>
    <x v="0"/>
    <x v="0"/>
    <x v="0"/>
    <n v="66"/>
    <n v="4.5999999999999996"/>
    <n v="726127"/>
    <n v="176"/>
    <n v="4.5999999999999996"/>
  </r>
  <r>
    <n v="2"/>
    <x v="1"/>
    <x v="0"/>
    <x v="0"/>
    <x v="0"/>
    <n v="66"/>
    <n v="6.4"/>
    <n v="452346"/>
    <n v="190"/>
    <n v="4.5999999999999996"/>
  </r>
  <r>
    <n v="3"/>
    <x v="2"/>
    <x v="0"/>
    <x v="0"/>
    <x v="0"/>
    <n v="66"/>
    <n v="3.4"/>
    <n v="276432"/>
    <n v="190"/>
    <n v="4.5999999999999996"/>
  </r>
  <r>
    <n v="4"/>
    <x v="3"/>
    <x v="0"/>
    <x v="0"/>
    <x v="0"/>
    <n v="66"/>
    <n v="3.4"/>
    <n v="667558"/>
    <n v="46"/>
    <n v="4.8"/>
  </r>
  <r>
    <n v="5"/>
    <x v="4"/>
    <x v="0"/>
    <x v="0"/>
    <x v="0"/>
    <n v="66"/>
    <n v="7.5"/>
    <n v="658157"/>
    <n v="150"/>
    <n v="4.4000000000000004"/>
  </r>
  <r>
    <n v="6"/>
    <x v="5"/>
    <x v="0"/>
    <x v="0"/>
    <x v="0"/>
    <n v="66"/>
    <n v="9.1999999999999993"/>
    <n v="587580"/>
    <n v="81"/>
    <n v="4.7"/>
  </r>
  <r>
    <n v="7"/>
    <x v="6"/>
    <x v="0"/>
    <x v="0"/>
    <x v="0"/>
    <n v="66"/>
    <n v="8.8000000000000007"/>
    <n v="217556"/>
    <n v="128"/>
    <n v="4.7"/>
  </r>
  <r>
    <n v="8"/>
    <x v="7"/>
    <x v="0"/>
    <x v="0"/>
    <x v="0"/>
    <n v="66"/>
    <n v="4.8"/>
    <n v="451335"/>
    <n v="105"/>
    <n v="4.2"/>
  </r>
  <r>
    <n v="9"/>
    <x v="8"/>
    <x v="0"/>
    <x v="0"/>
    <x v="0"/>
    <n v="66"/>
    <n v="9.3000000000000007"/>
    <n v="152494"/>
    <n v="190"/>
    <n v="4.5999999999999996"/>
  </r>
  <r>
    <n v="10"/>
    <x v="9"/>
    <x v="0"/>
    <x v="0"/>
    <x v="0"/>
    <n v="66"/>
    <n v="5.3"/>
    <n v="102260"/>
    <n v="46"/>
    <n v="4.5999999999999996"/>
  </r>
  <r>
    <n v="11"/>
    <x v="10"/>
    <x v="0"/>
    <x v="0"/>
    <x v="0"/>
    <n v="66"/>
    <n v="7.6"/>
    <n v="475845"/>
    <n v="101"/>
    <n v="4.4000000000000004"/>
  </r>
  <r>
    <n v="12"/>
    <x v="11"/>
    <x v="0"/>
    <x v="0"/>
    <x v="0"/>
    <n v="66"/>
    <n v="8.5"/>
    <n v="109693"/>
    <n v="163"/>
    <n v="4.5999999999999996"/>
  </r>
  <r>
    <n v="13"/>
    <x v="0"/>
    <x v="0"/>
    <x v="1"/>
    <x v="0"/>
    <n v="75"/>
    <n v="2.6"/>
    <n v="336324"/>
    <n v="131"/>
    <n v="4.7"/>
  </r>
  <r>
    <n v="14"/>
    <x v="1"/>
    <x v="0"/>
    <x v="1"/>
    <x v="0"/>
    <n v="75"/>
    <n v="6.8"/>
    <n v="627903"/>
    <n v="121"/>
    <n v="4.5"/>
  </r>
  <r>
    <n v="15"/>
    <x v="2"/>
    <x v="0"/>
    <x v="1"/>
    <x v="0"/>
    <n v="75"/>
    <n v="9.1"/>
    <n v="198186"/>
    <n v="53"/>
    <n v="4.8"/>
  </r>
  <r>
    <n v="16"/>
    <x v="3"/>
    <x v="0"/>
    <x v="1"/>
    <x v="0"/>
    <n v="75"/>
    <n v="2"/>
    <n v="815911"/>
    <n v="26"/>
    <n v="4.3"/>
  </r>
  <r>
    <n v="17"/>
    <x v="4"/>
    <x v="0"/>
    <x v="1"/>
    <x v="0"/>
    <n v="75"/>
    <n v="2.2000000000000002"/>
    <n v="197783"/>
    <n v="62"/>
    <n v="4.8"/>
  </r>
  <r>
    <n v="18"/>
    <x v="5"/>
    <x v="0"/>
    <x v="1"/>
    <x v="0"/>
    <n v="75"/>
    <n v="2.8"/>
    <n v="641411"/>
    <n v="233"/>
    <n v="4.5"/>
  </r>
  <r>
    <n v="19"/>
    <x v="6"/>
    <x v="0"/>
    <x v="1"/>
    <x v="0"/>
    <n v="75"/>
    <n v="3.8"/>
    <n v="570945"/>
    <n v="184"/>
    <n v="4.4000000000000004"/>
  </r>
  <r>
    <n v="20"/>
    <x v="7"/>
    <x v="0"/>
    <x v="1"/>
    <x v="0"/>
    <n v="75"/>
    <n v="5.4"/>
    <n v="180760"/>
    <n v="74"/>
    <n v="4.4000000000000004"/>
  </r>
  <r>
    <n v="21"/>
    <x v="8"/>
    <x v="0"/>
    <x v="1"/>
    <x v="0"/>
    <n v="75"/>
    <n v="8.1"/>
    <n v="367374"/>
    <n v="28"/>
    <n v="4.3"/>
  </r>
  <r>
    <n v="22"/>
    <x v="9"/>
    <x v="0"/>
    <x v="1"/>
    <x v="0"/>
    <n v="75"/>
    <n v="9.5"/>
    <n v="723349"/>
    <n v="87"/>
    <n v="4.2"/>
  </r>
  <r>
    <n v="23"/>
    <x v="10"/>
    <x v="0"/>
    <x v="1"/>
    <x v="0"/>
    <n v="75"/>
    <n v="7.4"/>
    <n v="495547"/>
    <n v="48"/>
    <n v="4.8"/>
  </r>
  <r>
    <n v="24"/>
    <x v="11"/>
    <x v="0"/>
    <x v="1"/>
    <x v="0"/>
    <n v="75"/>
    <n v="4.2"/>
    <n v="725081"/>
    <n v="241"/>
    <n v="4.4000000000000004"/>
  </r>
  <r>
    <n v="25"/>
    <x v="0"/>
    <x v="0"/>
    <x v="2"/>
    <x v="0"/>
    <n v="65"/>
    <n v="7.7"/>
    <n v="793715"/>
    <n v="104"/>
    <n v="4.7"/>
  </r>
  <r>
    <n v="26"/>
    <x v="1"/>
    <x v="0"/>
    <x v="2"/>
    <x v="0"/>
    <n v="65"/>
    <n v="8.3000000000000007"/>
    <n v="545153"/>
    <n v="49"/>
    <n v="4.5"/>
  </r>
  <r>
    <n v="27"/>
    <x v="2"/>
    <x v="0"/>
    <x v="2"/>
    <x v="0"/>
    <n v="65"/>
    <n v="7.3"/>
    <n v="653343"/>
    <n v="141"/>
    <n v="4.3"/>
  </r>
  <r>
    <n v="28"/>
    <x v="3"/>
    <x v="0"/>
    <x v="2"/>
    <x v="0"/>
    <n v="65"/>
    <n v="7.4"/>
    <n v="443541"/>
    <n v="30"/>
    <n v="4.5999999999999996"/>
  </r>
  <r>
    <n v="29"/>
    <x v="4"/>
    <x v="0"/>
    <x v="2"/>
    <x v="0"/>
    <n v="65"/>
    <n v="2.2000000000000002"/>
    <n v="339141"/>
    <n v="115"/>
    <n v="4.9000000000000004"/>
  </r>
  <r>
    <n v="30"/>
    <x v="5"/>
    <x v="0"/>
    <x v="2"/>
    <x v="0"/>
    <n v="65"/>
    <n v="7.6"/>
    <n v="705552"/>
    <n v="48"/>
    <n v="4.8"/>
  </r>
  <r>
    <n v="31"/>
    <x v="6"/>
    <x v="0"/>
    <x v="2"/>
    <x v="0"/>
    <n v="65"/>
    <n v="7"/>
    <n v="844121"/>
    <n v="200"/>
    <n v="4.7"/>
  </r>
  <r>
    <n v="32"/>
    <x v="7"/>
    <x v="0"/>
    <x v="2"/>
    <x v="0"/>
    <n v="65"/>
    <n v="4.7"/>
    <n v="297336"/>
    <n v="220"/>
    <n v="4.7"/>
  </r>
  <r>
    <n v="33"/>
    <x v="8"/>
    <x v="0"/>
    <x v="2"/>
    <x v="0"/>
    <n v="65"/>
    <n v="6.6"/>
    <n v="311049"/>
    <n v="101"/>
    <n v="4.4000000000000004"/>
  </r>
  <r>
    <n v="34"/>
    <x v="9"/>
    <x v="0"/>
    <x v="2"/>
    <x v="0"/>
    <n v="65"/>
    <n v="4.3"/>
    <n v="130901"/>
    <n v="85"/>
    <n v="4.3"/>
  </r>
  <r>
    <n v="35"/>
    <x v="10"/>
    <x v="0"/>
    <x v="2"/>
    <x v="0"/>
    <n v="65"/>
    <n v="4.8"/>
    <n v="434776"/>
    <n v="179"/>
    <n v="4.8"/>
  </r>
  <r>
    <n v="36"/>
    <x v="11"/>
    <x v="0"/>
    <x v="2"/>
    <x v="0"/>
    <n v="65"/>
    <n v="7.8"/>
    <n v="291722"/>
    <n v="242"/>
    <n v="4.8"/>
  </r>
  <r>
    <n v="37"/>
    <x v="0"/>
    <x v="0"/>
    <x v="3"/>
    <x v="1"/>
    <n v="140"/>
    <n v="8.8000000000000007"/>
    <n v="653937"/>
    <n v="220"/>
    <n v="4.3"/>
  </r>
  <r>
    <n v="38"/>
    <x v="1"/>
    <x v="0"/>
    <x v="3"/>
    <x v="1"/>
    <n v="140"/>
    <n v="4.9000000000000004"/>
    <n v="233193"/>
    <n v="213"/>
    <n v="4.4000000000000004"/>
  </r>
  <r>
    <n v="39"/>
    <x v="2"/>
    <x v="0"/>
    <x v="3"/>
    <x v="1"/>
    <n v="140"/>
    <n v="9.8000000000000007"/>
    <n v="565776"/>
    <n v="243"/>
    <n v="4.5"/>
  </r>
  <r>
    <n v="40"/>
    <x v="3"/>
    <x v="0"/>
    <x v="3"/>
    <x v="1"/>
    <n v="140"/>
    <n v="2.7"/>
    <n v="482500"/>
    <n v="197"/>
    <n v="4.9000000000000004"/>
  </r>
  <r>
    <n v="41"/>
    <x v="4"/>
    <x v="0"/>
    <x v="3"/>
    <x v="1"/>
    <n v="140"/>
    <n v="4.4000000000000004"/>
    <n v="190661"/>
    <n v="87"/>
    <n v="4.2"/>
  </r>
  <r>
    <n v="42"/>
    <x v="5"/>
    <x v="0"/>
    <x v="3"/>
    <x v="1"/>
    <n v="140"/>
    <n v="9.9"/>
    <n v="664359"/>
    <n v="61"/>
    <n v="4.3"/>
  </r>
  <r>
    <n v="43"/>
    <x v="6"/>
    <x v="0"/>
    <x v="3"/>
    <x v="1"/>
    <n v="140"/>
    <n v="7.9"/>
    <n v="246958"/>
    <n v="205"/>
    <n v="4.4000000000000004"/>
  </r>
  <r>
    <n v="44"/>
    <x v="7"/>
    <x v="0"/>
    <x v="3"/>
    <x v="1"/>
    <n v="140"/>
    <n v="8.4"/>
    <n v="261181"/>
    <n v="204"/>
    <n v="4.9000000000000004"/>
  </r>
  <r>
    <n v="45"/>
    <x v="8"/>
    <x v="0"/>
    <x v="3"/>
    <x v="1"/>
    <n v="140"/>
    <n v="4.2"/>
    <n v="455005"/>
    <n v="160"/>
    <n v="4.7"/>
  </r>
  <r>
    <n v="46"/>
    <x v="9"/>
    <x v="0"/>
    <x v="3"/>
    <x v="1"/>
    <n v="140"/>
    <n v="7.2"/>
    <n v="750967"/>
    <n v="144"/>
    <n v="4.5"/>
  </r>
  <r>
    <n v="47"/>
    <x v="10"/>
    <x v="0"/>
    <x v="3"/>
    <x v="1"/>
    <n v="140"/>
    <n v="8.1999999999999993"/>
    <n v="182287"/>
    <n v="229"/>
    <n v="4.2"/>
  </r>
  <r>
    <n v="48"/>
    <x v="11"/>
    <x v="0"/>
    <x v="3"/>
    <x v="1"/>
    <n v="140"/>
    <n v="2.7"/>
    <n v="118895"/>
    <n v="200"/>
    <n v="4.5999999999999996"/>
  </r>
  <r>
    <n v="49"/>
    <x v="0"/>
    <x v="0"/>
    <x v="4"/>
    <x v="2"/>
    <n v="38"/>
    <n v="8.1"/>
    <n v="201279"/>
    <n v="58"/>
    <n v="4.4000000000000004"/>
  </r>
  <r>
    <n v="50"/>
    <x v="1"/>
    <x v="0"/>
    <x v="4"/>
    <x v="2"/>
    <n v="38"/>
    <n v="5.2"/>
    <n v="112903"/>
    <n v="136"/>
    <n v="4.7"/>
  </r>
  <r>
    <n v="51"/>
    <x v="2"/>
    <x v="0"/>
    <x v="4"/>
    <x v="2"/>
    <n v="38"/>
    <n v="9.6999999999999993"/>
    <n v="740732"/>
    <n v="95"/>
    <n v="4.8"/>
  </r>
  <r>
    <n v="52"/>
    <x v="3"/>
    <x v="0"/>
    <x v="4"/>
    <x v="2"/>
    <n v="38"/>
    <n v="8.6999999999999993"/>
    <n v="720398"/>
    <n v="88"/>
    <n v="4.9000000000000004"/>
  </r>
  <r>
    <n v="53"/>
    <x v="4"/>
    <x v="0"/>
    <x v="4"/>
    <x v="2"/>
    <n v="38"/>
    <n v="2.4"/>
    <n v="353816"/>
    <n v="204"/>
    <n v="4.4000000000000004"/>
  </r>
  <r>
    <n v="54"/>
    <x v="5"/>
    <x v="0"/>
    <x v="4"/>
    <x v="2"/>
    <n v="38"/>
    <n v="4.0999999999999996"/>
    <n v="483875"/>
    <n v="121"/>
    <n v="4.5"/>
  </r>
  <r>
    <n v="55"/>
    <x v="6"/>
    <x v="0"/>
    <x v="4"/>
    <x v="2"/>
    <n v="38"/>
    <n v="6.4"/>
    <n v="364490"/>
    <n v="130"/>
    <n v="4.3"/>
  </r>
  <r>
    <n v="56"/>
    <x v="7"/>
    <x v="0"/>
    <x v="4"/>
    <x v="2"/>
    <n v="38"/>
    <n v="2.2000000000000002"/>
    <n v="570285"/>
    <n v="50"/>
    <n v="4.9000000000000004"/>
  </r>
  <r>
    <n v="57"/>
    <x v="8"/>
    <x v="0"/>
    <x v="4"/>
    <x v="2"/>
    <n v="38"/>
    <n v="4.7"/>
    <n v="330846"/>
    <n v="115"/>
    <n v="4.5"/>
  </r>
  <r>
    <n v="58"/>
    <x v="9"/>
    <x v="0"/>
    <x v="4"/>
    <x v="2"/>
    <n v="38"/>
    <n v="9.6999999999999993"/>
    <n v="755432"/>
    <n v="30"/>
    <n v="4.5"/>
  </r>
  <r>
    <n v="59"/>
    <x v="10"/>
    <x v="0"/>
    <x v="4"/>
    <x v="2"/>
    <n v="38"/>
    <n v="5.4"/>
    <n v="329965"/>
    <n v="182"/>
    <n v="4.7"/>
  </r>
  <r>
    <n v="60"/>
    <x v="11"/>
    <x v="0"/>
    <x v="4"/>
    <x v="2"/>
    <n v="38"/>
    <n v="9.1999999999999993"/>
    <n v="658457"/>
    <n v="30"/>
    <n v="4.7"/>
  </r>
  <r>
    <n v="61"/>
    <x v="0"/>
    <x v="0"/>
    <x v="5"/>
    <x v="2"/>
    <n v="30"/>
    <n v="9.4"/>
    <n v="561403"/>
    <n v="191"/>
    <n v="4.8"/>
  </r>
  <r>
    <n v="62"/>
    <x v="1"/>
    <x v="0"/>
    <x v="5"/>
    <x v="2"/>
    <n v="30"/>
    <n v="6"/>
    <n v="126194"/>
    <n v="153"/>
    <n v="4.3"/>
  </r>
  <r>
    <n v="63"/>
    <x v="2"/>
    <x v="0"/>
    <x v="5"/>
    <x v="2"/>
    <n v="30"/>
    <n v="4.7"/>
    <n v="550019"/>
    <n v="151"/>
    <n v="4.7"/>
  </r>
  <r>
    <n v="64"/>
    <x v="3"/>
    <x v="0"/>
    <x v="5"/>
    <x v="2"/>
    <n v="30"/>
    <n v="9"/>
    <n v="652851"/>
    <n v="159"/>
    <n v="4.7"/>
  </r>
  <r>
    <n v="65"/>
    <x v="4"/>
    <x v="0"/>
    <x v="5"/>
    <x v="2"/>
    <n v="30"/>
    <n v="6.9"/>
    <n v="571024"/>
    <n v="84"/>
    <n v="4.9000000000000004"/>
  </r>
  <r>
    <n v="66"/>
    <x v="5"/>
    <x v="0"/>
    <x v="5"/>
    <x v="2"/>
    <n v="30"/>
    <n v="8.4"/>
    <n v="431391"/>
    <n v="98"/>
    <n v="4.7"/>
  </r>
  <r>
    <n v="67"/>
    <x v="6"/>
    <x v="0"/>
    <x v="5"/>
    <x v="2"/>
    <n v="30"/>
    <n v="2.9"/>
    <n v="642828"/>
    <n v="126"/>
    <n v="4.5"/>
  </r>
  <r>
    <n v="68"/>
    <x v="7"/>
    <x v="0"/>
    <x v="5"/>
    <x v="2"/>
    <n v="30"/>
    <n v="4.5"/>
    <n v="676781"/>
    <n v="81"/>
    <n v="4.7"/>
  </r>
  <r>
    <n v="69"/>
    <x v="8"/>
    <x v="0"/>
    <x v="5"/>
    <x v="2"/>
    <n v="30"/>
    <n v="5.3"/>
    <n v="706101"/>
    <n v="26"/>
    <n v="4.4000000000000004"/>
  </r>
  <r>
    <n v="70"/>
    <x v="9"/>
    <x v="0"/>
    <x v="5"/>
    <x v="2"/>
    <n v="30"/>
    <n v="5.6"/>
    <n v="423469"/>
    <n v="156"/>
    <n v="4.7"/>
  </r>
  <r>
    <n v="71"/>
    <x v="10"/>
    <x v="0"/>
    <x v="5"/>
    <x v="2"/>
    <n v="30"/>
    <n v="2.6"/>
    <n v="484536"/>
    <n v="120"/>
    <n v="4.3"/>
  </r>
  <r>
    <n v="72"/>
    <x v="11"/>
    <x v="0"/>
    <x v="5"/>
    <x v="2"/>
    <n v="30"/>
    <n v="2.7"/>
    <n v="600517"/>
    <n v="221"/>
    <n v="4.9000000000000004"/>
  </r>
  <r>
    <n v="73"/>
    <x v="0"/>
    <x v="0"/>
    <x v="6"/>
    <x v="3"/>
    <n v="100"/>
    <n v="7.4"/>
    <n v="703230"/>
    <n v="248"/>
    <n v="4.5999999999999996"/>
  </r>
  <r>
    <n v="74"/>
    <x v="1"/>
    <x v="0"/>
    <x v="6"/>
    <x v="3"/>
    <n v="100"/>
    <n v="4.5"/>
    <n v="815865"/>
    <n v="151"/>
    <n v="4.2"/>
  </r>
  <r>
    <n v="75"/>
    <x v="2"/>
    <x v="0"/>
    <x v="6"/>
    <x v="3"/>
    <n v="100"/>
    <n v="2.5"/>
    <n v="696519"/>
    <n v="225"/>
    <n v="4.5"/>
  </r>
  <r>
    <n v="76"/>
    <x v="3"/>
    <x v="0"/>
    <x v="6"/>
    <x v="3"/>
    <n v="100"/>
    <n v="3.4"/>
    <n v="218921"/>
    <n v="121"/>
    <n v="4.5"/>
  </r>
  <r>
    <n v="77"/>
    <x v="4"/>
    <x v="0"/>
    <x v="6"/>
    <x v="3"/>
    <n v="100"/>
    <n v="4.5"/>
    <n v="305910"/>
    <n v="132"/>
    <n v="4.4000000000000004"/>
  </r>
  <r>
    <n v="78"/>
    <x v="5"/>
    <x v="0"/>
    <x v="6"/>
    <x v="3"/>
    <n v="100"/>
    <n v="4.4000000000000004"/>
    <n v="344535"/>
    <n v="164"/>
    <n v="4.4000000000000004"/>
  </r>
  <r>
    <n v="79"/>
    <x v="6"/>
    <x v="0"/>
    <x v="6"/>
    <x v="3"/>
    <n v="100"/>
    <n v="4.4000000000000004"/>
    <n v="261149"/>
    <n v="43"/>
    <n v="4.5999999999999996"/>
  </r>
  <r>
    <n v="80"/>
    <x v="7"/>
    <x v="0"/>
    <x v="6"/>
    <x v="3"/>
    <n v="100"/>
    <n v="5.7"/>
    <n v="774705"/>
    <n v="246"/>
    <n v="4.5999999999999996"/>
  </r>
  <r>
    <n v="81"/>
    <x v="8"/>
    <x v="0"/>
    <x v="6"/>
    <x v="3"/>
    <n v="100"/>
    <n v="8.6999999999999993"/>
    <n v="743646"/>
    <n v="120"/>
    <n v="4.9000000000000004"/>
  </r>
  <r>
    <n v="82"/>
    <x v="9"/>
    <x v="0"/>
    <x v="6"/>
    <x v="3"/>
    <n v="100"/>
    <n v="8.8000000000000007"/>
    <n v="595379"/>
    <n v="83"/>
    <n v="4.5999999999999996"/>
  </r>
  <r>
    <n v="83"/>
    <x v="10"/>
    <x v="0"/>
    <x v="6"/>
    <x v="3"/>
    <n v="100"/>
    <n v="7.2"/>
    <n v="407786"/>
    <n v="148"/>
    <n v="4.5999999999999996"/>
  </r>
  <r>
    <n v="84"/>
    <x v="11"/>
    <x v="0"/>
    <x v="6"/>
    <x v="3"/>
    <n v="100"/>
    <n v="3.9"/>
    <n v="428466"/>
    <n v="194"/>
    <n v="4.7"/>
  </r>
  <r>
    <n v="85"/>
    <x v="0"/>
    <x v="0"/>
    <x v="7"/>
    <x v="4"/>
    <n v="146"/>
    <n v="5.2"/>
    <n v="379740"/>
    <n v="46"/>
    <n v="4.4000000000000004"/>
  </r>
  <r>
    <n v="86"/>
    <x v="1"/>
    <x v="0"/>
    <x v="7"/>
    <x v="4"/>
    <n v="146"/>
    <n v="3.9"/>
    <n v="482961"/>
    <n v="122"/>
    <n v="4.4000000000000004"/>
  </r>
  <r>
    <n v="87"/>
    <x v="2"/>
    <x v="0"/>
    <x v="7"/>
    <x v="4"/>
    <n v="146"/>
    <n v="2.7"/>
    <n v="653478"/>
    <n v="170"/>
    <n v="4.8"/>
  </r>
  <r>
    <n v="88"/>
    <x v="3"/>
    <x v="0"/>
    <x v="7"/>
    <x v="4"/>
    <n v="146"/>
    <n v="5.9"/>
    <n v="213302"/>
    <n v="41"/>
    <n v="4.5"/>
  </r>
  <r>
    <n v="89"/>
    <x v="4"/>
    <x v="0"/>
    <x v="7"/>
    <x v="4"/>
    <n v="146"/>
    <n v="4"/>
    <n v="780552"/>
    <n v="82"/>
    <n v="4.5"/>
  </r>
  <r>
    <n v="90"/>
    <x v="5"/>
    <x v="0"/>
    <x v="7"/>
    <x v="4"/>
    <n v="146"/>
    <n v="5.7"/>
    <n v="789355"/>
    <n v="129"/>
    <n v="4.9000000000000004"/>
  </r>
  <r>
    <n v="91"/>
    <x v="6"/>
    <x v="0"/>
    <x v="7"/>
    <x v="4"/>
    <n v="146"/>
    <n v="5.6"/>
    <n v="284829"/>
    <n v="101"/>
    <n v="4.2"/>
  </r>
  <r>
    <n v="92"/>
    <x v="7"/>
    <x v="0"/>
    <x v="7"/>
    <x v="4"/>
    <n v="146"/>
    <n v="5.3"/>
    <n v="177579"/>
    <n v="129"/>
    <n v="4.7"/>
  </r>
  <r>
    <n v="93"/>
    <x v="8"/>
    <x v="0"/>
    <x v="7"/>
    <x v="4"/>
    <n v="146"/>
    <n v="7.4"/>
    <n v="653111"/>
    <n v="143"/>
    <n v="4.2"/>
  </r>
  <r>
    <n v="94"/>
    <x v="9"/>
    <x v="0"/>
    <x v="7"/>
    <x v="4"/>
    <n v="146"/>
    <n v="6.1"/>
    <n v="640631"/>
    <n v="92"/>
    <n v="4.7"/>
  </r>
  <r>
    <n v="95"/>
    <x v="10"/>
    <x v="0"/>
    <x v="7"/>
    <x v="4"/>
    <n v="146"/>
    <n v="9.3000000000000007"/>
    <n v="358319"/>
    <n v="116"/>
    <n v="4.8"/>
  </r>
  <r>
    <n v="96"/>
    <x v="11"/>
    <x v="0"/>
    <x v="7"/>
    <x v="4"/>
    <n v="146"/>
    <n v="5.8"/>
    <n v="263669"/>
    <n v="244"/>
    <n v="4.8"/>
  </r>
  <r>
    <n v="97"/>
    <x v="0"/>
    <x v="0"/>
    <x v="8"/>
    <x v="5"/>
    <n v="173"/>
    <n v="5"/>
    <n v="691282"/>
    <n v="194"/>
    <n v="4.5999999999999996"/>
  </r>
  <r>
    <n v="98"/>
    <x v="1"/>
    <x v="0"/>
    <x v="8"/>
    <x v="5"/>
    <n v="173"/>
    <n v="9.1999999999999993"/>
    <n v="889490"/>
    <n v="184"/>
    <n v="4.2"/>
  </r>
  <r>
    <n v="99"/>
    <x v="2"/>
    <x v="0"/>
    <x v="8"/>
    <x v="5"/>
    <n v="173"/>
    <n v="2.8"/>
    <n v="614020"/>
    <n v="118"/>
    <n v="4.4000000000000004"/>
  </r>
  <r>
    <n v="100"/>
    <x v="3"/>
    <x v="0"/>
    <x v="8"/>
    <x v="5"/>
    <n v="173"/>
    <n v="3.3"/>
    <n v="238733"/>
    <n v="71"/>
    <n v="4.8"/>
  </r>
  <r>
    <n v="101"/>
    <x v="4"/>
    <x v="0"/>
    <x v="8"/>
    <x v="5"/>
    <n v="173"/>
    <n v="2.2999999999999998"/>
    <n v="189948"/>
    <n v="187"/>
    <n v="4.7"/>
  </r>
  <r>
    <n v="102"/>
    <x v="5"/>
    <x v="0"/>
    <x v="8"/>
    <x v="5"/>
    <n v="173"/>
    <n v="8.6"/>
    <n v="743826"/>
    <n v="55"/>
    <n v="4.2"/>
  </r>
  <r>
    <n v="103"/>
    <x v="6"/>
    <x v="0"/>
    <x v="8"/>
    <x v="5"/>
    <n v="173"/>
    <n v="5.4"/>
    <n v="894426"/>
    <n v="75"/>
    <n v="4.3"/>
  </r>
  <r>
    <n v="104"/>
    <x v="7"/>
    <x v="0"/>
    <x v="8"/>
    <x v="5"/>
    <n v="173"/>
    <n v="8.8000000000000007"/>
    <n v="257179"/>
    <n v="112"/>
    <n v="4.7"/>
  </r>
  <r>
    <n v="105"/>
    <x v="8"/>
    <x v="0"/>
    <x v="8"/>
    <x v="5"/>
    <n v="173"/>
    <n v="6.5"/>
    <n v="447729"/>
    <n v="209"/>
    <n v="4.7"/>
  </r>
  <r>
    <n v="106"/>
    <x v="9"/>
    <x v="0"/>
    <x v="8"/>
    <x v="5"/>
    <n v="173"/>
    <n v="3.2"/>
    <n v="868823"/>
    <n v="199"/>
    <n v="4.4000000000000004"/>
  </r>
  <r>
    <n v="107"/>
    <x v="10"/>
    <x v="0"/>
    <x v="8"/>
    <x v="5"/>
    <n v="173"/>
    <n v="5.9"/>
    <n v="554385"/>
    <n v="24"/>
    <n v="4.3"/>
  </r>
  <r>
    <n v="108"/>
    <x v="11"/>
    <x v="0"/>
    <x v="8"/>
    <x v="5"/>
    <n v="173"/>
    <n v="4.5999999999999996"/>
    <n v="828092"/>
    <n v="149"/>
    <n v="4.3"/>
  </r>
  <r>
    <n v="109"/>
    <x v="0"/>
    <x v="0"/>
    <x v="9"/>
    <x v="5"/>
    <n v="180"/>
    <n v="6.9"/>
    <n v="316809"/>
    <n v="116"/>
    <n v="4.3"/>
  </r>
  <r>
    <n v="110"/>
    <x v="1"/>
    <x v="0"/>
    <x v="9"/>
    <x v="5"/>
    <n v="180"/>
    <n v="9.6999999999999993"/>
    <n v="576026"/>
    <n v="197"/>
    <n v="4.5999999999999996"/>
  </r>
  <r>
    <n v="111"/>
    <x v="2"/>
    <x v="0"/>
    <x v="9"/>
    <x v="5"/>
    <n v="180"/>
    <n v="8.1999999999999993"/>
    <n v="237446"/>
    <n v="172"/>
    <n v="4.5"/>
  </r>
  <r>
    <n v="112"/>
    <x v="3"/>
    <x v="0"/>
    <x v="9"/>
    <x v="5"/>
    <n v="180"/>
    <n v="4.5"/>
    <n v="426035"/>
    <n v="31"/>
    <n v="4.8"/>
  </r>
  <r>
    <n v="113"/>
    <x v="4"/>
    <x v="0"/>
    <x v="9"/>
    <x v="5"/>
    <n v="180"/>
    <n v="5.2"/>
    <n v="222344"/>
    <n v="232"/>
    <n v="4.5"/>
  </r>
  <r>
    <n v="114"/>
    <x v="5"/>
    <x v="0"/>
    <x v="9"/>
    <x v="5"/>
    <n v="180"/>
    <n v="3.7"/>
    <n v="111630"/>
    <n v="183"/>
    <n v="4.7"/>
  </r>
  <r>
    <n v="115"/>
    <x v="6"/>
    <x v="0"/>
    <x v="9"/>
    <x v="5"/>
    <n v="180"/>
    <n v="6.1"/>
    <n v="850653"/>
    <n v="74"/>
    <n v="4.5999999999999996"/>
  </r>
  <r>
    <n v="116"/>
    <x v="7"/>
    <x v="0"/>
    <x v="9"/>
    <x v="5"/>
    <n v="180"/>
    <n v="8.6999999999999993"/>
    <n v="561326"/>
    <n v="94"/>
    <n v="4.9000000000000004"/>
  </r>
  <r>
    <n v="117"/>
    <x v="8"/>
    <x v="0"/>
    <x v="9"/>
    <x v="5"/>
    <n v="180"/>
    <n v="10"/>
    <n v="799329"/>
    <n v="29"/>
    <n v="4.5999999999999996"/>
  </r>
  <r>
    <n v="118"/>
    <x v="9"/>
    <x v="0"/>
    <x v="9"/>
    <x v="5"/>
    <n v="180"/>
    <n v="3.8"/>
    <n v="640250"/>
    <n v="148"/>
    <n v="4.8"/>
  </r>
  <r>
    <n v="119"/>
    <x v="10"/>
    <x v="0"/>
    <x v="9"/>
    <x v="5"/>
    <n v="180"/>
    <n v="3"/>
    <n v="560163"/>
    <n v="85"/>
    <n v="4.9000000000000004"/>
  </r>
  <r>
    <n v="120"/>
    <x v="11"/>
    <x v="0"/>
    <x v="9"/>
    <x v="5"/>
    <n v="180"/>
    <n v="4.5"/>
    <n v="661338"/>
    <n v="143"/>
    <n v="4.7"/>
  </r>
  <r>
    <n v="121"/>
    <x v="0"/>
    <x v="0"/>
    <x v="10"/>
    <x v="6"/>
    <n v="53"/>
    <n v="6"/>
    <n v="203599"/>
    <n v="221"/>
    <n v="4.3"/>
  </r>
  <r>
    <n v="122"/>
    <x v="1"/>
    <x v="0"/>
    <x v="10"/>
    <x v="6"/>
    <n v="53"/>
    <n v="6.8"/>
    <n v="592266"/>
    <n v="155"/>
    <n v="4.5"/>
  </r>
  <r>
    <n v="123"/>
    <x v="2"/>
    <x v="0"/>
    <x v="10"/>
    <x v="6"/>
    <n v="53"/>
    <n v="4.5"/>
    <n v="421869"/>
    <n v="28"/>
    <n v="4.9000000000000004"/>
  </r>
  <r>
    <n v="124"/>
    <x v="3"/>
    <x v="0"/>
    <x v="10"/>
    <x v="6"/>
    <n v="53"/>
    <n v="2.9"/>
    <n v="337295"/>
    <n v="109"/>
    <n v="4.2"/>
  </r>
  <r>
    <n v="125"/>
    <x v="4"/>
    <x v="0"/>
    <x v="10"/>
    <x v="6"/>
    <n v="53"/>
    <n v="7.4"/>
    <n v="198541"/>
    <n v="20"/>
    <n v="4.9000000000000004"/>
  </r>
  <r>
    <n v="126"/>
    <x v="5"/>
    <x v="0"/>
    <x v="10"/>
    <x v="6"/>
    <n v="53"/>
    <n v="2.6"/>
    <n v="693573"/>
    <n v="209"/>
    <n v="4.3"/>
  </r>
  <r>
    <n v="127"/>
    <x v="6"/>
    <x v="0"/>
    <x v="10"/>
    <x v="6"/>
    <n v="53"/>
    <n v="8.6999999999999993"/>
    <n v="469022"/>
    <n v="24"/>
    <n v="4.4000000000000004"/>
  </r>
  <r>
    <n v="128"/>
    <x v="7"/>
    <x v="0"/>
    <x v="10"/>
    <x v="6"/>
    <n v="53"/>
    <n v="3.3"/>
    <n v="365245"/>
    <n v="87"/>
    <n v="4.8"/>
  </r>
  <r>
    <n v="129"/>
    <x v="8"/>
    <x v="0"/>
    <x v="10"/>
    <x v="6"/>
    <n v="53"/>
    <n v="6.3"/>
    <n v="781047"/>
    <n v="156"/>
    <n v="4.8"/>
  </r>
  <r>
    <n v="130"/>
    <x v="9"/>
    <x v="0"/>
    <x v="10"/>
    <x v="6"/>
    <n v="53"/>
    <n v="2.9"/>
    <n v="827878"/>
    <n v="106"/>
    <n v="4.8"/>
  </r>
  <r>
    <n v="131"/>
    <x v="10"/>
    <x v="0"/>
    <x v="10"/>
    <x v="6"/>
    <n v="53"/>
    <n v="7.6"/>
    <n v="369672"/>
    <n v="195"/>
    <n v="4.5"/>
  </r>
  <r>
    <n v="132"/>
    <x v="11"/>
    <x v="0"/>
    <x v="10"/>
    <x v="6"/>
    <n v="53"/>
    <n v="8.8000000000000007"/>
    <n v="728548"/>
    <n v="45"/>
    <n v="4.4000000000000004"/>
  </r>
  <r>
    <n v="133"/>
    <x v="0"/>
    <x v="0"/>
    <x v="11"/>
    <x v="7"/>
    <n v="94"/>
    <n v="8.1999999999999993"/>
    <n v="732377"/>
    <n v="27"/>
    <n v="4.5"/>
  </r>
  <r>
    <n v="134"/>
    <x v="1"/>
    <x v="0"/>
    <x v="11"/>
    <x v="7"/>
    <n v="94"/>
    <n v="8.9"/>
    <n v="191337"/>
    <n v="163"/>
    <n v="4.3"/>
  </r>
  <r>
    <n v="135"/>
    <x v="2"/>
    <x v="0"/>
    <x v="11"/>
    <x v="7"/>
    <n v="94"/>
    <n v="6.9"/>
    <n v="589716"/>
    <n v="180"/>
    <n v="4.4000000000000004"/>
  </r>
  <r>
    <n v="136"/>
    <x v="3"/>
    <x v="0"/>
    <x v="11"/>
    <x v="7"/>
    <n v="94"/>
    <n v="4"/>
    <n v="519324"/>
    <n v="146"/>
    <n v="4.3"/>
  </r>
  <r>
    <n v="137"/>
    <x v="4"/>
    <x v="0"/>
    <x v="11"/>
    <x v="7"/>
    <n v="94"/>
    <n v="8.5"/>
    <n v="122731"/>
    <n v="148"/>
    <n v="4.5"/>
  </r>
  <r>
    <n v="138"/>
    <x v="5"/>
    <x v="0"/>
    <x v="11"/>
    <x v="7"/>
    <n v="94"/>
    <n v="9"/>
    <n v="821649"/>
    <n v="79"/>
    <n v="4.9000000000000004"/>
  </r>
  <r>
    <n v="139"/>
    <x v="6"/>
    <x v="0"/>
    <x v="11"/>
    <x v="7"/>
    <n v="94"/>
    <n v="9"/>
    <n v="497297"/>
    <n v="244"/>
    <n v="4.4000000000000004"/>
  </r>
  <r>
    <n v="140"/>
    <x v="7"/>
    <x v="0"/>
    <x v="11"/>
    <x v="7"/>
    <n v="94"/>
    <n v="2.2000000000000002"/>
    <n v="396309"/>
    <n v="104"/>
    <n v="4.8"/>
  </r>
  <r>
    <n v="141"/>
    <x v="8"/>
    <x v="0"/>
    <x v="11"/>
    <x v="7"/>
    <n v="94"/>
    <n v="2.8"/>
    <n v="229413"/>
    <n v="160"/>
    <n v="4.7"/>
  </r>
  <r>
    <n v="142"/>
    <x v="9"/>
    <x v="0"/>
    <x v="11"/>
    <x v="7"/>
    <n v="94"/>
    <n v="6.7"/>
    <n v="385639"/>
    <n v="58"/>
    <n v="4.4000000000000004"/>
  </r>
  <r>
    <n v="143"/>
    <x v="10"/>
    <x v="0"/>
    <x v="11"/>
    <x v="7"/>
    <n v="94"/>
    <n v="6.5"/>
    <n v="180242"/>
    <n v="196"/>
    <n v="4.2"/>
  </r>
  <r>
    <n v="144"/>
    <x v="11"/>
    <x v="0"/>
    <x v="11"/>
    <x v="7"/>
    <n v="94"/>
    <n v="6.7"/>
    <n v="698523"/>
    <n v="137"/>
    <n v="4.8"/>
  </r>
  <r>
    <n v="145"/>
    <x v="0"/>
    <x v="0"/>
    <x v="12"/>
    <x v="8"/>
    <n v="67"/>
    <n v="9"/>
    <n v="175842"/>
    <n v="204"/>
    <n v="4.4000000000000004"/>
  </r>
  <r>
    <n v="146"/>
    <x v="1"/>
    <x v="0"/>
    <x v="12"/>
    <x v="8"/>
    <n v="67"/>
    <n v="4"/>
    <n v="847380"/>
    <n v="205"/>
    <n v="4.7"/>
  </r>
  <r>
    <n v="147"/>
    <x v="2"/>
    <x v="0"/>
    <x v="12"/>
    <x v="8"/>
    <n v="67"/>
    <n v="4.7"/>
    <n v="815566"/>
    <n v="206"/>
    <n v="4.8"/>
  </r>
  <r>
    <n v="148"/>
    <x v="3"/>
    <x v="0"/>
    <x v="12"/>
    <x v="8"/>
    <n v="67"/>
    <n v="6.4"/>
    <n v="144715"/>
    <n v="131"/>
    <n v="4.4000000000000004"/>
  </r>
  <r>
    <n v="149"/>
    <x v="4"/>
    <x v="0"/>
    <x v="12"/>
    <x v="8"/>
    <n v="67"/>
    <n v="8"/>
    <n v="727771"/>
    <n v="170"/>
    <n v="4.2"/>
  </r>
  <r>
    <n v="150"/>
    <x v="5"/>
    <x v="0"/>
    <x v="12"/>
    <x v="8"/>
    <n v="67"/>
    <n v="5.2"/>
    <n v="841545"/>
    <n v="209"/>
    <n v="4.2"/>
  </r>
  <r>
    <n v="151"/>
    <x v="6"/>
    <x v="0"/>
    <x v="12"/>
    <x v="8"/>
    <n v="67"/>
    <n v="2.4"/>
    <n v="374645"/>
    <n v="228"/>
    <n v="4.5"/>
  </r>
  <r>
    <n v="152"/>
    <x v="7"/>
    <x v="0"/>
    <x v="12"/>
    <x v="8"/>
    <n v="67"/>
    <n v="2.7"/>
    <n v="175111"/>
    <n v="110"/>
    <n v="4.5999999999999996"/>
  </r>
  <r>
    <n v="153"/>
    <x v="8"/>
    <x v="0"/>
    <x v="12"/>
    <x v="8"/>
    <n v="67"/>
    <n v="8.1"/>
    <n v="290918"/>
    <n v="200"/>
    <n v="4.5"/>
  </r>
  <r>
    <n v="154"/>
    <x v="9"/>
    <x v="0"/>
    <x v="12"/>
    <x v="8"/>
    <n v="67"/>
    <n v="6.7"/>
    <n v="641699"/>
    <n v="57"/>
    <n v="4.7"/>
  </r>
  <r>
    <n v="155"/>
    <x v="10"/>
    <x v="0"/>
    <x v="12"/>
    <x v="8"/>
    <n v="67"/>
    <n v="8.4"/>
    <n v="644952"/>
    <n v="199"/>
    <n v="4.9000000000000004"/>
  </r>
  <r>
    <n v="156"/>
    <x v="11"/>
    <x v="0"/>
    <x v="12"/>
    <x v="8"/>
    <n v="67"/>
    <n v="3.3"/>
    <n v="626029"/>
    <n v="224"/>
    <n v="4.2"/>
  </r>
  <r>
    <n v="157"/>
    <x v="0"/>
    <x v="0"/>
    <x v="13"/>
    <x v="0"/>
    <n v="78"/>
    <n v="3.8"/>
    <n v="440727"/>
    <n v="34"/>
    <n v="4.5999999999999996"/>
  </r>
  <r>
    <n v="158"/>
    <x v="1"/>
    <x v="0"/>
    <x v="13"/>
    <x v="0"/>
    <n v="78"/>
    <n v="4.7"/>
    <n v="782940"/>
    <n v="37"/>
    <n v="4.8"/>
  </r>
  <r>
    <n v="159"/>
    <x v="2"/>
    <x v="0"/>
    <x v="13"/>
    <x v="0"/>
    <n v="78"/>
    <n v="9.1"/>
    <n v="268006"/>
    <n v="197"/>
    <n v="4.7"/>
  </r>
  <r>
    <n v="160"/>
    <x v="3"/>
    <x v="0"/>
    <x v="13"/>
    <x v="0"/>
    <n v="78"/>
    <n v="8.6999999999999993"/>
    <n v="669283"/>
    <n v="126"/>
    <n v="4.7"/>
  </r>
  <r>
    <n v="161"/>
    <x v="4"/>
    <x v="0"/>
    <x v="13"/>
    <x v="0"/>
    <n v="78"/>
    <n v="2.5"/>
    <n v="113569"/>
    <n v="154"/>
    <n v="4.2"/>
  </r>
  <r>
    <n v="162"/>
    <x v="5"/>
    <x v="0"/>
    <x v="13"/>
    <x v="0"/>
    <n v="78"/>
    <n v="9.6"/>
    <n v="863124"/>
    <n v="65"/>
    <n v="4.5999999999999996"/>
  </r>
  <r>
    <n v="163"/>
    <x v="6"/>
    <x v="0"/>
    <x v="13"/>
    <x v="0"/>
    <n v="78"/>
    <n v="8.1999999999999993"/>
    <n v="411614"/>
    <n v="226"/>
    <n v="4.9000000000000004"/>
  </r>
  <r>
    <n v="164"/>
    <x v="7"/>
    <x v="0"/>
    <x v="13"/>
    <x v="0"/>
    <n v="78"/>
    <n v="9.1"/>
    <n v="890468"/>
    <n v="129"/>
    <n v="4.4000000000000004"/>
  </r>
  <r>
    <n v="165"/>
    <x v="8"/>
    <x v="0"/>
    <x v="13"/>
    <x v="0"/>
    <n v="78"/>
    <n v="4.5999999999999996"/>
    <n v="445729"/>
    <n v="143"/>
    <n v="4.3"/>
  </r>
  <r>
    <n v="166"/>
    <x v="9"/>
    <x v="0"/>
    <x v="13"/>
    <x v="0"/>
    <n v="78"/>
    <n v="7.4"/>
    <n v="192981"/>
    <n v="40"/>
    <n v="4.4000000000000004"/>
  </r>
  <r>
    <n v="167"/>
    <x v="10"/>
    <x v="0"/>
    <x v="13"/>
    <x v="0"/>
    <n v="78"/>
    <n v="5.8"/>
    <n v="704239"/>
    <n v="145"/>
    <n v="4.5"/>
  </r>
  <r>
    <n v="168"/>
    <x v="11"/>
    <x v="0"/>
    <x v="13"/>
    <x v="0"/>
    <n v="78"/>
    <n v="5.2"/>
    <n v="255374"/>
    <n v="31"/>
    <n v="4.9000000000000004"/>
  </r>
  <r>
    <n v="169"/>
    <x v="0"/>
    <x v="0"/>
    <x v="14"/>
    <x v="9"/>
    <n v="169"/>
    <n v="8.1"/>
    <n v="234349"/>
    <n v="166"/>
    <n v="4.7"/>
  </r>
  <r>
    <n v="170"/>
    <x v="1"/>
    <x v="0"/>
    <x v="14"/>
    <x v="9"/>
    <n v="169"/>
    <n v="4"/>
    <n v="280870"/>
    <n v="92"/>
    <n v="4.9000000000000004"/>
  </r>
  <r>
    <n v="171"/>
    <x v="2"/>
    <x v="0"/>
    <x v="14"/>
    <x v="9"/>
    <n v="169"/>
    <n v="8.8000000000000007"/>
    <n v="627267"/>
    <n v="40"/>
    <n v="4.5"/>
  </r>
  <r>
    <n v="172"/>
    <x v="3"/>
    <x v="0"/>
    <x v="14"/>
    <x v="9"/>
    <n v="169"/>
    <n v="6.1"/>
    <n v="419618"/>
    <n v="43"/>
    <n v="4.5"/>
  </r>
  <r>
    <n v="173"/>
    <x v="4"/>
    <x v="0"/>
    <x v="14"/>
    <x v="9"/>
    <n v="169"/>
    <n v="6.9"/>
    <n v="122604"/>
    <n v="190"/>
    <n v="4.8"/>
  </r>
  <r>
    <n v="174"/>
    <x v="5"/>
    <x v="0"/>
    <x v="14"/>
    <x v="9"/>
    <n v="169"/>
    <n v="3.8"/>
    <n v="837739"/>
    <n v="40"/>
    <n v="4.4000000000000004"/>
  </r>
  <r>
    <n v="175"/>
    <x v="6"/>
    <x v="0"/>
    <x v="14"/>
    <x v="9"/>
    <n v="169"/>
    <n v="4.5"/>
    <n v="684005"/>
    <n v="58"/>
    <n v="4.4000000000000004"/>
  </r>
  <r>
    <n v="176"/>
    <x v="7"/>
    <x v="0"/>
    <x v="14"/>
    <x v="9"/>
    <n v="169"/>
    <n v="3.6"/>
    <n v="703812"/>
    <n v="169"/>
    <n v="4.8"/>
  </r>
  <r>
    <n v="177"/>
    <x v="8"/>
    <x v="0"/>
    <x v="14"/>
    <x v="9"/>
    <n v="169"/>
    <n v="8.3000000000000007"/>
    <n v="347440"/>
    <n v="208"/>
    <n v="4.5999999999999996"/>
  </r>
  <r>
    <n v="178"/>
    <x v="9"/>
    <x v="0"/>
    <x v="14"/>
    <x v="9"/>
    <n v="169"/>
    <n v="8.3000000000000007"/>
    <n v="212818"/>
    <n v="109"/>
    <n v="4.4000000000000004"/>
  </r>
  <r>
    <n v="179"/>
    <x v="10"/>
    <x v="0"/>
    <x v="14"/>
    <x v="9"/>
    <n v="169"/>
    <n v="2.1"/>
    <n v="356344"/>
    <n v="112"/>
    <n v="4.5"/>
  </r>
  <r>
    <n v="180"/>
    <x v="11"/>
    <x v="0"/>
    <x v="14"/>
    <x v="9"/>
    <n v="169"/>
    <n v="9.1"/>
    <n v="437950"/>
    <n v="57"/>
    <n v="4.3"/>
  </r>
  <r>
    <n v="181"/>
    <x v="0"/>
    <x v="0"/>
    <x v="15"/>
    <x v="10"/>
    <n v="150"/>
    <n v="9.3000000000000007"/>
    <n v="821195"/>
    <n v="44"/>
    <n v="4.3"/>
  </r>
  <r>
    <n v="182"/>
    <x v="1"/>
    <x v="0"/>
    <x v="15"/>
    <x v="10"/>
    <n v="150"/>
    <n v="4.5"/>
    <n v="820664"/>
    <n v="81"/>
    <n v="4.8"/>
  </r>
  <r>
    <n v="183"/>
    <x v="2"/>
    <x v="0"/>
    <x v="15"/>
    <x v="10"/>
    <n v="150"/>
    <n v="6.4"/>
    <n v="741366"/>
    <n v="61"/>
    <n v="4.3"/>
  </r>
  <r>
    <n v="184"/>
    <x v="3"/>
    <x v="0"/>
    <x v="15"/>
    <x v="10"/>
    <n v="150"/>
    <n v="7.1"/>
    <n v="243645"/>
    <n v="83"/>
    <n v="4.5999999999999996"/>
  </r>
  <r>
    <n v="185"/>
    <x v="4"/>
    <x v="0"/>
    <x v="15"/>
    <x v="10"/>
    <n v="150"/>
    <n v="4.0999999999999996"/>
    <n v="695532"/>
    <n v="65"/>
    <n v="4.4000000000000004"/>
  </r>
  <r>
    <n v="186"/>
    <x v="5"/>
    <x v="0"/>
    <x v="15"/>
    <x v="10"/>
    <n v="150"/>
    <n v="9.6"/>
    <n v="706717"/>
    <n v="195"/>
    <n v="4.4000000000000004"/>
  </r>
  <r>
    <n v="187"/>
    <x v="6"/>
    <x v="0"/>
    <x v="15"/>
    <x v="10"/>
    <n v="150"/>
    <n v="9"/>
    <n v="363454"/>
    <n v="181"/>
    <n v="4.3"/>
  </r>
  <r>
    <n v="188"/>
    <x v="7"/>
    <x v="0"/>
    <x v="15"/>
    <x v="10"/>
    <n v="150"/>
    <n v="7.1"/>
    <n v="430431"/>
    <n v="87"/>
    <n v="4.5999999999999996"/>
  </r>
  <r>
    <n v="189"/>
    <x v="8"/>
    <x v="0"/>
    <x v="15"/>
    <x v="10"/>
    <n v="150"/>
    <n v="3.4"/>
    <n v="146774"/>
    <n v="187"/>
    <n v="4.5"/>
  </r>
  <r>
    <n v="190"/>
    <x v="9"/>
    <x v="0"/>
    <x v="15"/>
    <x v="10"/>
    <n v="150"/>
    <n v="5"/>
    <n v="563464"/>
    <n v="227"/>
    <n v="4.5"/>
  </r>
  <r>
    <n v="191"/>
    <x v="10"/>
    <x v="0"/>
    <x v="15"/>
    <x v="10"/>
    <n v="150"/>
    <n v="4.9000000000000004"/>
    <n v="502702"/>
    <n v="227"/>
    <n v="4.3"/>
  </r>
  <r>
    <n v="192"/>
    <x v="11"/>
    <x v="0"/>
    <x v="15"/>
    <x v="10"/>
    <n v="150"/>
    <n v="2.9"/>
    <n v="310972"/>
    <n v="200"/>
    <n v="4.3"/>
  </r>
  <r>
    <n v="193"/>
    <x v="0"/>
    <x v="0"/>
    <x v="16"/>
    <x v="1"/>
    <n v="17"/>
    <n v="3.6"/>
    <n v="787040"/>
    <n v="246"/>
    <n v="4.4000000000000004"/>
  </r>
  <r>
    <n v="194"/>
    <x v="1"/>
    <x v="0"/>
    <x v="16"/>
    <x v="1"/>
    <n v="17"/>
    <n v="8.8000000000000007"/>
    <n v="306749"/>
    <n v="72"/>
    <n v="4.8"/>
  </r>
  <r>
    <n v="195"/>
    <x v="2"/>
    <x v="0"/>
    <x v="16"/>
    <x v="1"/>
    <n v="17"/>
    <n v="7.6"/>
    <n v="797788"/>
    <n v="194"/>
    <n v="4.5999999999999996"/>
  </r>
  <r>
    <n v="196"/>
    <x v="3"/>
    <x v="0"/>
    <x v="16"/>
    <x v="1"/>
    <n v="17"/>
    <n v="4.9000000000000004"/>
    <n v="531270"/>
    <n v="165"/>
    <n v="4.5"/>
  </r>
  <r>
    <n v="197"/>
    <x v="4"/>
    <x v="0"/>
    <x v="16"/>
    <x v="1"/>
    <n v="17"/>
    <n v="3.2"/>
    <n v="121282"/>
    <n v="56"/>
    <n v="4.4000000000000004"/>
  </r>
  <r>
    <n v="198"/>
    <x v="5"/>
    <x v="0"/>
    <x v="16"/>
    <x v="1"/>
    <n v="17"/>
    <n v="7.2"/>
    <n v="277835"/>
    <n v="52"/>
    <n v="4.3"/>
  </r>
  <r>
    <n v="199"/>
    <x v="6"/>
    <x v="0"/>
    <x v="16"/>
    <x v="1"/>
    <n v="17"/>
    <n v="8.6"/>
    <n v="671258"/>
    <n v="63"/>
    <n v="4.9000000000000004"/>
  </r>
  <r>
    <n v="200"/>
    <x v="7"/>
    <x v="0"/>
    <x v="16"/>
    <x v="1"/>
    <n v="17"/>
    <n v="7.5"/>
    <n v="784909"/>
    <n v="84"/>
    <n v="4.3"/>
  </r>
  <r>
    <n v="201"/>
    <x v="8"/>
    <x v="0"/>
    <x v="16"/>
    <x v="1"/>
    <n v="17"/>
    <n v="7.9"/>
    <n v="145902"/>
    <n v="228"/>
    <n v="4.5999999999999996"/>
  </r>
  <r>
    <n v="202"/>
    <x v="9"/>
    <x v="0"/>
    <x v="16"/>
    <x v="1"/>
    <n v="17"/>
    <n v="2.5"/>
    <n v="586672"/>
    <n v="205"/>
    <n v="4.3"/>
  </r>
  <r>
    <n v="203"/>
    <x v="10"/>
    <x v="0"/>
    <x v="16"/>
    <x v="1"/>
    <n v="17"/>
    <n v="6.3"/>
    <n v="719804"/>
    <n v="196"/>
    <n v="4.5"/>
  </r>
  <r>
    <n v="204"/>
    <x v="11"/>
    <x v="0"/>
    <x v="16"/>
    <x v="1"/>
    <n v="17"/>
    <n v="7.7"/>
    <n v="247714"/>
    <n v="95"/>
    <n v="4.4000000000000004"/>
  </r>
  <r>
    <n v="205"/>
    <x v="0"/>
    <x v="0"/>
    <x v="17"/>
    <x v="4"/>
    <n v="131"/>
    <n v="7.7"/>
    <n v="575984"/>
    <n v="219"/>
    <n v="4.5999999999999996"/>
  </r>
  <r>
    <n v="206"/>
    <x v="1"/>
    <x v="0"/>
    <x v="17"/>
    <x v="4"/>
    <n v="131"/>
    <n v="2.4"/>
    <n v="371752"/>
    <n v="227"/>
    <n v="4.8"/>
  </r>
  <r>
    <n v="207"/>
    <x v="2"/>
    <x v="0"/>
    <x v="17"/>
    <x v="4"/>
    <n v="131"/>
    <n v="7.6"/>
    <n v="620224"/>
    <n v="33"/>
    <n v="4.7"/>
  </r>
  <r>
    <n v="208"/>
    <x v="3"/>
    <x v="0"/>
    <x v="17"/>
    <x v="4"/>
    <n v="131"/>
    <n v="9.6999999999999993"/>
    <n v="775671"/>
    <n v="206"/>
    <n v="4.2"/>
  </r>
  <r>
    <n v="209"/>
    <x v="4"/>
    <x v="0"/>
    <x v="17"/>
    <x v="4"/>
    <n v="131"/>
    <n v="4.5"/>
    <n v="309281"/>
    <n v="170"/>
    <n v="4.4000000000000004"/>
  </r>
  <r>
    <n v="210"/>
    <x v="5"/>
    <x v="0"/>
    <x v="17"/>
    <x v="4"/>
    <n v="131"/>
    <n v="8.5"/>
    <n v="356233"/>
    <n v="21"/>
    <n v="4.8"/>
  </r>
  <r>
    <n v="211"/>
    <x v="6"/>
    <x v="0"/>
    <x v="17"/>
    <x v="4"/>
    <n v="131"/>
    <n v="3.8"/>
    <n v="316820"/>
    <n v="26"/>
    <n v="4.3"/>
  </r>
  <r>
    <n v="212"/>
    <x v="7"/>
    <x v="0"/>
    <x v="17"/>
    <x v="4"/>
    <n v="131"/>
    <n v="2.7"/>
    <n v="337450"/>
    <n v="139"/>
    <n v="4.8"/>
  </r>
  <r>
    <n v="213"/>
    <x v="8"/>
    <x v="0"/>
    <x v="17"/>
    <x v="4"/>
    <n v="131"/>
    <n v="6.6"/>
    <n v="384986"/>
    <n v="63"/>
    <n v="4.5"/>
  </r>
  <r>
    <n v="214"/>
    <x v="9"/>
    <x v="0"/>
    <x v="17"/>
    <x v="4"/>
    <n v="131"/>
    <n v="6.3"/>
    <n v="807199"/>
    <n v="102"/>
    <n v="4.9000000000000004"/>
  </r>
  <r>
    <n v="215"/>
    <x v="10"/>
    <x v="0"/>
    <x v="17"/>
    <x v="4"/>
    <n v="131"/>
    <n v="4.5"/>
    <n v="642563"/>
    <n v="39"/>
    <n v="4.4000000000000004"/>
  </r>
  <r>
    <n v="216"/>
    <x v="11"/>
    <x v="0"/>
    <x v="17"/>
    <x v="4"/>
    <n v="131"/>
    <n v="6.8"/>
    <n v="320095"/>
    <n v="97"/>
    <n v="4.5999999999999996"/>
  </r>
  <r>
    <n v="217"/>
    <x v="0"/>
    <x v="0"/>
    <x v="18"/>
    <x v="5"/>
    <n v="91"/>
    <n v="6"/>
    <n v="593920"/>
    <n v="53"/>
    <n v="4.5"/>
  </r>
  <r>
    <n v="218"/>
    <x v="1"/>
    <x v="0"/>
    <x v="18"/>
    <x v="5"/>
    <n v="91"/>
    <n v="8.1999999999999993"/>
    <n v="132542"/>
    <n v="160"/>
    <n v="4.3"/>
  </r>
  <r>
    <n v="219"/>
    <x v="2"/>
    <x v="0"/>
    <x v="18"/>
    <x v="5"/>
    <n v="91"/>
    <n v="7.1"/>
    <n v="331634"/>
    <n v="50"/>
    <n v="4.4000000000000004"/>
  </r>
  <r>
    <n v="220"/>
    <x v="3"/>
    <x v="0"/>
    <x v="18"/>
    <x v="5"/>
    <n v="91"/>
    <n v="3.6"/>
    <n v="671674"/>
    <n v="185"/>
    <n v="4.2"/>
  </r>
  <r>
    <n v="221"/>
    <x v="4"/>
    <x v="0"/>
    <x v="18"/>
    <x v="5"/>
    <n v="91"/>
    <n v="10"/>
    <n v="181891"/>
    <n v="166"/>
    <n v="4.7"/>
  </r>
  <r>
    <n v="222"/>
    <x v="5"/>
    <x v="0"/>
    <x v="18"/>
    <x v="5"/>
    <n v="91"/>
    <n v="8"/>
    <n v="741154"/>
    <n v="155"/>
    <n v="4.5"/>
  </r>
  <r>
    <n v="223"/>
    <x v="6"/>
    <x v="0"/>
    <x v="18"/>
    <x v="5"/>
    <n v="91"/>
    <n v="6.6"/>
    <n v="157406"/>
    <n v="187"/>
    <n v="4.5999999999999996"/>
  </r>
  <r>
    <n v="224"/>
    <x v="7"/>
    <x v="0"/>
    <x v="18"/>
    <x v="5"/>
    <n v="91"/>
    <n v="7.2"/>
    <n v="726579"/>
    <n v="168"/>
    <n v="4.3"/>
  </r>
  <r>
    <n v="225"/>
    <x v="8"/>
    <x v="0"/>
    <x v="18"/>
    <x v="5"/>
    <n v="91"/>
    <n v="7.7"/>
    <n v="758378"/>
    <n v="225"/>
    <n v="4.5"/>
  </r>
  <r>
    <n v="226"/>
    <x v="9"/>
    <x v="0"/>
    <x v="18"/>
    <x v="5"/>
    <n v="91"/>
    <n v="6.3"/>
    <n v="247360"/>
    <n v="121"/>
    <n v="4.8"/>
  </r>
  <r>
    <n v="227"/>
    <x v="10"/>
    <x v="0"/>
    <x v="18"/>
    <x v="5"/>
    <n v="91"/>
    <n v="5.8"/>
    <n v="738917"/>
    <n v="142"/>
    <n v="4.8"/>
  </r>
  <r>
    <n v="228"/>
    <x v="11"/>
    <x v="0"/>
    <x v="18"/>
    <x v="5"/>
    <n v="91"/>
    <n v="4.2"/>
    <n v="759991"/>
    <n v="99"/>
    <n v="4.2"/>
  </r>
  <r>
    <n v="229"/>
    <x v="0"/>
    <x v="0"/>
    <x v="19"/>
    <x v="11"/>
    <n v="96"/>
    <n v="2.4"/>
    <n v="441856"/>
    <n v="81"/>
    <n v="4.8"/>
  </r>
  <r>
    <n v="230"/>
    <x v="1"/>
    <x v="0"/>
    <x v="19"/>
    <x v="11"/>
    <n v="96"/>
    <n v="3.9"/>
    <n v="487882"/>
    <n v="143"/>
    <n v="4.7"/>
  </r>
  <r>
    <n v="231"/>
    <x v="2"/>
    <x v="0"/>
    <x v="19"/>
    <x v="11"/>
    <n v="96"/>
    <n v="6.2"/>
    <n v="757739"/>
    <n v="250"/>
    <n v="4.3"/>
  </r>
  <r>
    <n v="232"/>
    <x v="3"/>
    <x v="0"/>
    <x v="19"/>
    <x v="11"/>
    <n v="96"/>
    <n v="3.6"/>
    <n v="337382"/>
    <n v="209"/>
    <n v="4.3"/>
  </r>
  <r>
    <n v="233"/>
    <x v="4"/>
    <x v="0"/>
    <x v="19"/>
    <x v="11"/>
    <n v="96"/>
    <n v="6.9"/>
    <n v="441645"/>
    <n v="172"/>
    <n v="4.3"/>
  </r>
  <r>
    <n v="234"/>
    <x v="5"/>
    <x v="0"/>
    <x v="19"/>
    <x v="11"/>
    <n v="96"/>
    <n v="8.6"/>
    <n v="579685"/>
    <n v="101"/>
    <n v="4.2"/>
  </r>
  <r>
    <n v="235"/>
    <x v="6"/>
    <x v="0"/>
    <x v="19"/>
    <x v="11"/>
    <n v="96"/>
    <n v="7.6"/>
    <n v="337463"/>
    <n v="107"/>
    <n v="4.7"/>
  </r>
  <r>
    <n v="236"/>
    <x v="7"/>
    <x v="0"/>
    <x v="19"/>
    <x v="11"/>
    <n v="96"/>
    <n v="3.3"/>
    <n v="604297"/>
    <n v="92"/>
    <n v="4.8"/>
  </r>
  <r>
    <n v="237"/>
    <x v="8"/>
    <x v="0"/>
    <x v="19"/>
    <x v="11"/>
    <n v="96"/>
    <n v="7.1"/>
    <n v="797183"/>
    <n v="215"/>
    <n v="4.8"/>
  </r>
  <r>
    <n v="238"/>
    <x v="9"/>
    <x v="0"/>
    <x v="19"/>
    <x v="11"/>
    <n v="96"/>
    <n v="7.4"/>
    <n v="320972"/>
    <n v="110"/>
    <n v="4.5999999999999996"/>
  </r>
  <r>
    <n v="239"/>
    <x v="10"/>
    <x v="0"/>
    <x v="19"/>
    <x v="11"/>
    <n v="96"/>
    <n v="5.8"/>
    <n v="832986"/>
    <n v="44"/>
    <n v="4.7"/>
  </r>
  <r>
    <n v="240"/>
    <x v="11"/>
    <x v="0"/>
    <x v="19"/>
    <x v="11"/>
    <n v="96"/>
    <n v="7.8"/>
    <n v="574784"/>
    <n v="117"/>
    <n v="4.2"/>
  </r>
  <r>
    <n v="241"/>
    <x v="0"/>
    <x v="1"/>
    <x v="0"/>
    <x v="0"/>
    <n v="20"/>
    <n v="3"/>
    <n v="374802"/>
    <n v="155"/>
    <n v="4.5999999999999996"/>
  </r>
  <r>
    <n v="242"/>
    <x v="1"/>
    <x v="1"/>
    <x v="0"/>
    <x v="0"/>
    <n v="20"/>
    <n v="3.3"/>
    <n v="787041"/>
    <n v="101"/>
    <n v="4.5999999999999996"/>
  </r>
  <r>
    <n v="243"/>
    <x v="2"/>
    <x v="1"/>
    <x v="0"/>
    <x v="0"/>
    <n v="20"/>
    <n v="8.3000000000000007"/>
    <n v="783196"/>
    <n v="194"/>
    <n v="4.3"/>
  </r>
  <r>
    <n v="244"/>
    <x v="3"/>
    <x v="1"/>
    <x v="0"/>
    <x v="0"/>
    <n v="20"/>
    <n v="3.4"/>
    <n v="621672"/>
    <n v="63"/>
    <n v="4.2"/>
  </r>
  <r>
    <n v="245"/>
    <x v="4"/>
    <x v="1"/>
    <x v="0"/>
    <x v="0"/>
    <n v="20"/>
    <n v="9.3000000000000007"/>
    <n v="216285"/>
    <n v="215"/>
    <n v="4.4000000000000004"/>
  </r>
  <r>
    <n v="246"/>
    <x v="5"/>
    <x v="1"/>
    <x v="0"/>
    <x v="0"/>
    <n v="20"/>
    <n v="3.8"/>
    <n v="587294"/>
    <n v="137"/>
    <n v="4.3"/>
  </r>
  <r>
    <n v="247"/>
    <x v="6"/>
    <x v="1"/>
    <x v="0"/>
    <x v="0"/>
    <n v="20"/>
    <n v="7.1"/>
    <n v="503477"/>
    <n v="48"/>
    <n v="4.4000000000000004"/>
  </r>
  <r>
    <n v="248"/>
    <x v="7"/>
    <x v="1"/>
    <x v="0"/>
    <x v="0"/>
    <n v="20"/>
    <n v="3.8"/>
    <n v="654785"/>
    <n v="22"/>
    <n v="4.2"/>
  </r>
  <r>
    <n v="249"/>
    <x v="8"/>
    <x v="1"/>
    <x v="0"/>
    <x v="0"/>
    <n v="20"/>
    <n v="5.9"/>
    <n v="608842"/>
    <n v="201"/>
    <n v="4.2"/>
  </r>
  <r>
    <n v="250"/>
    <x v="9"/>
    <x v="1"/>
    <x v="0"/>
    <x v="0"/>
    <n v="20"/>
    <n v="3.5"/>
    <n v="318105"/>
    <n v="144"/>
    <n v="4.5999999999999996"/>
  </r>
  <r>
    <n v="251"/>
    <x v="0"/>
    <x v="1"/>
    <x v="1"/>
    <x v="0"/>
    <n v="67"/>
    <n v="7.5"/>
    <n v="688397"/>
    <n v="135"/>
    <n v="4.5"/>
  </r>
  <r>
    <n v="252"/>
    <x v="1"/>
    <x v="1"/>
    <x v="1"/>
    <x v="0"/>
    <n v="67"/>
    <n v="3"/>
    <n v="491344"/>
    <n v="59"/>
    <n v="4.4000000000000004"/>
  </r>
  <r>
    <n v="253"/>
    <x v="2"/>
    <x v="1"/>
    <x v="1"/>
    <x v="0"/>
    <n v="67"/>
    <n v="9.4"/>
    <n v="501017"/>
    <n v="127"/>
    <n v="4.8"/>
  </r>
  <r>
    <n v="254"/>
    <x v="3"/>
    <x v="1"/>
    <x v="1"/>
    <x v="0"/>
    <n v="67"/>
    <n v="6.2"/>
    <n v="461469"/>
    <n v="113"/>
    <n v="4.9000000000000004"/>
  </r>
  <r>
    <n v="255"/>
    <x v="4"/>
    <x v="1"/>
    <x v="1"/>
    <x v="0"/>
    <n v="67"/>
    <n v="7.2"/>
    <n v="545114"/>
    <n v="202"/>
    <n v="4.3"/>
  </r>
  <r>
    <n v="256"/>
    <x v="5"/>
    <x v="1"/>
    <x v="1"/>
    <x v="0"/>
    <n v="67"/>
    <n v="7.6"/>
    <n v="100172"/>
    <n v="32"/>
    <n v="4.8"/>
  </r>
  <r>
    <n v="257"/>
    <x v="6"/>
    <x v="1"/>
    <x v="1"/>
    <x v="0"/>
    <n v="67"/>
    <n v="2.9"/>
    <n v="719256"/>
    <n v="68"/>
    <n v="4.4000000000000004"/>
  </r>
  <r>
    <n v="258"/>
    <x v="7"/>
    <x v="1"/>
    <x v="1"/>
    <x v="0"/>
    <n v="67"/>
    <n v="3.3"/>
    <n v="441048"/>
    <n v="120"/>
    <n v="4.9000000000000004"/>
  </r>
  <r>
    <n v="259"/>
    <x v="8"/>
    <x v="1"/>
    <x v="1"/>
    <x v="0"/>
    <n v="67"/>
    <n v="4.7"/>
    <n v="426309"/>
    <n v="117"/>
    <n v="4.3"/>
  </r>
  <r>
    <n v="260"/>
    <x v="9"/>
    <x v="1"/>
    <x v="1"/>
    <x v="0"/>
    <n v="67"/>
    <n v="9.6"/>
    <n v="409232"/>
    <n v="151"/>
    <n v="4.8"/>
  </r>
  <r>
    <n v="261"/>
    <x v="0"/>
    <x v="1"/>
    <x v="2"/>
    <x v="0"/>
    <n v="77"/>
    <n v="7.9"/>
    <n v="889257"/>
    <n v="237"/>
    <n v="4.4000000000000004"/>
  </r>
  <r>
    <n v="262"/>
    <x v="1"/>
    <x v="1"/>
    <x v="2"/>
    <x v="0"/>
    <n v="77"/>
    <n v="4.3"/>
    <n v="388840"/>
    <n v="112"/>
    <n v="4.5999999999999996"/>
  </r>
  <r>
    <n v="263"/>
    <x v="2"/>
    <x v="1"/>
    <x v="2"/>
    <x v="0"/>
    <n v="77"/>
    <n v="5.4"/>
    <n v="592209"/>
    <n v="67"/>
    <n v="4.4000000000000004"/>
  </r>
  <r>
    <n v="264"/>
    <x v="3"/>
    <x v="1"/>
    <x v="2"/>
    <x v="0"/>
    <n v="77"/>
    <n v="3.8"/>
    <n v="549291"/>
    <n v="90"/>
    <n v="4.5"/>
  </r>
  <r>
    <n v="265"/>
    <x v="4"/>
    <x v="1"/>
    <x v="2"/>
    <x v="0"/>
    <n v="77"/>
    <n v="8.1999999999999993"/>
    <n v="711552"/>
    <n v="67"/>
    <n v="4.2"/>
  </r>
  <r>
    <n v="266"/>
    <x v="5"/>
    <x v="1"/>
    <x v="2"/>
    <x v="0"/>
    <n v="77"/>
    <n v="4"/>
    <n v="897754"/>
    <n v="153"/>
    <n v="4.8"/>
  </r>
  <r>
    <n v="267"/>
    <x v="6"/>
    <x v="1"/>
    <x v="2"/>
    <x v="0"/>
    <n v="77"/>
    <n v="6.1"/>
    <n v="549188"/>
    <n v="103"/>
    <n v="4.9000000000000004"/>
  </r>
  <r>
    <n v="268"/>
    <x v="7"/>
    <x v="1"/>
    <x v="2"/>
    <x v="0"/>
    <n v="77"/>
    <n v="9.8000000000000007"/>
    <n v="591460"/>
    <n v="225"/>
    <n v="4.2"/>
  </r>
  <r>
    <n v="269"/>
    <x v="8"/>
    <x v="1"/>
    <x v="2"/>
    <x v="0"/>
    <n v="77"/>
    <n v="7"/>
    <n v="621379"/>
    <n v="175"/>
    <n v="4.4000000000000004"/>
  </r>
  <r>
    <n v="270"/>
    <x v="9"/>
    <x v="1"/>
    <x v="2"/>
    <x v="0"/>
    <n v="77"/>
    <n v="7.4"/>
    <n v="789974"/>
    <n v="219"/>
    <n v="4.5"/>
  </r>
  <r>
    <n v="271"/>
    <x v="0"/>
    <x v="1"/>
    <x v="3"/>
    <x v="1"/>
    <n v="24"/>
    <n v="9.1"/>
    <n v="793349"/>
    <n v="102"/>
    <n v="4.5999999999999996"/>
  </r>
  <r>
    <n v="272"/>
    <x v="1"/>
    <x v="1"/>
    <x v="3"/>
    <x v="1"/>
    <n v="24"/>
    <n v="2.6"/>
    <n v="504803"/>
    <n v="239"/>
    <n v="4.9000000000000004"/>
  </r>
  <r>
    <n v="273"/>
    <x v="2"/>
    <x v="1"/>
    <x v="3"/>
    <x v="1"/>
    <n v="24"/>
    <n v="3.3"/>
    <n v="475967"/>
    <n v="212"/>
    <n v="4.5"/>
  </r>
  <r>
    <n v="274"/>
    <x v="3"/>
    <x v="1"/>
    <x v="3"/>
    <x v="1"/>
    <n v="24"/>
    <n v="9.8000000000000007"/>
    <n v="376758"/>
    <n v="155"/>
    <n v="4.5999999999999996"/>
  </r>
  <r>
    <n v="275"/>
    <x v="4"/>
    <x v="1"/>
    <x v="3"/>
    <x v="1"/>
    <n v="24"/>
    <n v="9.6"/>
    <n v="616243"/>
    <n v="213"/>
    <n v="4.2"/>
  </r>
  <r>
    <n v="276"/>
    <x v="5"/>
    <x v="1"/>
    <x v="3"/>
    <x v="1"/>
    <n v="24"/>
    <n v="2.7"/>
    <n v="634739"/>
    <n v="137"/>
    <n v="4.5"/>
  </r>
  <r>
    <n v="277"/>
    <x v="6"/>
    <x v="1"/>
    <x v="3"/>
    <x v="1"/>
    <n v="24"/>
    <n v="8.5"/>
    <n v="727574"/>
    <n v="127"/>
    <n v="4.7"/>
  </r>
  <r>
    <n v="278"/>
    <x v="7"/>
    <x v="1"/>
    <x v="3"/>
    <x v="1"/>
    <n v="24"/>
    <n v="9.9"/>
    <n v="225446"/>
    <n v="146"/>
    <n v="4.9000000000000004"/>
  </r>
  <r>
    <n v="279"/>
    <x v="8"/>
    <x v="1"/>
    <x v="3"/>
    <x v="1"/>
    <n v="24"/>
    <n v="4.3"/>
    <n v="135813"/>
    <n v="135"/>
    <n v="4.8"/>
  </r>
  <r>
    <n v="280"/>
    <x v="9"/>
    <x v="1"/>
    <x v="3"/>
    <x v="1"/>
    <n v="24"/>
    <n v="2.6"/>
    <n v="624308"/>
    <n v="35"/>
    <n v="4.5"/>
  </r>
  <r>
    <n v="281"/>
    <x v="0"/>
    <x v="1"/>
    <x v="4"/>
    <x v="2"/>
    <n v="172"/>
    <n v="5.5"/>
    <n v="212074"/>
    <n v="66"/>
    <n v="4.8"/>
  </r>
  <r>
    <n v="282"/>
    <x v="1"/>
    <x v="1"/>
    <x v="4"/>
    <x v="2"/>
    <n v="172"/>
    <n v="5.6"/>
    <n v="425731"/>
    <n v="228"/>
    <n v="4.2"/>
  </r>
  <r>
    <n v="283"/>
    <x v="2"/>
    <x v="1"/>
    <x v="4"/>
    <x v="2"/>
    <n v="172"/>
    <n v="5.0999999999999996"/>
    <n v="612490"/>
    <n v="209"/>
    <n v="4.8"/>
  </r>
  <r>
    <n v="284"/>
    <x v="3"/>
    <x v="1"/>
    <x v="4"/>
    <x v="2"/>
    <n v="172"/>
    <n v="5.3"/>
    <n v="498353"/>
    <n v="132"/>
    <n v="4.5999999999999996"/>
  </r>
  <r>
    <n v="285"/>
    <x v="4"/>
    <x v="1"/>
    <x v="4"/>
    <x v="2"/>
    <n v="172"/>
    <n v="9.1999999999999993"/>
    <n v="534972"/>
    <n v="141"/>
    <n v="4.4000000000000004"/>
  </r>
  <r>
    <n v="286"/>
    <x v="5"/>
    <x v="1"/>
    <x v="4"/>
    <x v="2"/>
    <n v="172"/>
    <n v="4.7"/>
    <n v="726629"/>
    <n v="115"/>
    <n v="4.7"/>
  </r>
  <r>
    <n v="287"/>
    <x v="6"/>
    <x v="1"/>
    <x v="4"/>
    <x v="2"/>
    <n v="172"/>
    <n v="8"/>
    <n v="471284"/>
    <n v="130"/>
    <n v="4.8"/>
  </r>
  <r>
    <n v="288"/>
    <x v="7"/>
    <x v="1"/>
    <x v="4"/>
    <x v="2"/>
    <n v="172"/>
    <n v="6.6"/>
    <n v="120311"/>
    <n v="152"/>
    <n v="4.7"/>
  </r>
  <r>
    <n v="289"/>
    <x v="8"/>
    <x v="1"/>
    <x v="4"/>
    <x v="2"/>
    <n v="172"/>
    <n v="9.5"/>
    <n v="455347"/>
    <n v="20"/>
    <n v="4.7"/>
  </r>
  <r>
    <n v="290"/>
    <x v="9"/>
    <x v="1"/>
    <x v="4"/>
    <x v="2"/>
    <n v="172"/>
    <n v="3.9"/>
    <n v="343654"/>
    <n v="141"/>
    <n v="4.5999999999999996"/>
  </r>
  <r>
    <n v="291"/>
    <x v="0"/>
    <x v="1"/>
    <x v="5"/>
    <x v="2"/>
    <n v="174"/>
    <n v="8.1"/>
    <n v="874314"/>
    <n v="34"/>
    <n v="4.8"/>
  </r>
  <r>
    <n v="292"/>
    <x v="1"/>
    <x v="1"/>
    <x v="5"/>
    <x v="2"/>
    <n v="174"/>
    <n v="6.2"/>
    <n v="411124"/>
    <n v="119"/>
    <n v="4.4000000000000004"/>
  </r>
  <r>
    <n v="293"/>
    <x v="2"/>
    <x v="1"/>
    <x v="5"/>
    <x v="2"/>
    <n v="174"/>
    <n v="8.3000000000000007"/>
    <n v="235358"/>
    <n v="184"/>
    <n v="4.8"/>
  </r>
  <r>
    <n v="294"/>
    <x v="3"/>
    <x v="1"/>
    <x v="5"/>
    <x v="2"/>
    <n v="174"/>
    <n v="4.2"/>
    <n v="237095"/>
    <n v="176"/>
    <n v="4.4000000000000004"/>
  </r>
  <r>
    <n v="295"/>
    <x v="4"/>
    <x v="1"/>
    <x v="5"/>
    <x v="2"/>
    <n v="174"/>
    <n v="6.4"/>
    <n v="573908"/>
    <n v="187"/>
    <n v="4.5"/>
  </r>
  <r>
    <n v="296"/>
    <x v="5"/>
    <x v="1"/>
    <x v="5"/>
    <x v="2"/>
    <n v="174"/>
    <n v="4.7"/>
    <n v="514941"/>
    <n v="214"/>
    <n v="4.5999999999999996"/>
  </r>
  <r>
    <n v="297"/>
    <x v="6"/>
    <x v="1"/>
    <x v="5"/>
    <x v="2"/>
    <n v="174"/>
    <n v="2.4"/>
    <n v="163135"/>
    <n v="142"/>
    <n v="4.5"/>
  </r>
  <r>
    <n v="298"/>
    <x v="7"/>
    <x v="1"/>
    <x v="5"/>
    <x v="2"/>
    <n v="174"/>
    <n v="6.9"/>
    <n v="414111"/>
    <n v="182"/>
    <n v="4.3"/>
  </r>
  <r>
    <n v="299"/>
    <x v="8"/>
    <x v="1"/>
    <x v="5"/>
    <x v="2"/>
    <n v="174"/>
    <n v="3.8"/>
    <n v="869114"/>
    <n v="185"/>
    <n v="4.8"/>
  </r>
  <r>
    <n v="300"/>
    <x v="9"/>
    <x v="1"/>
    <x v="5"/>
    <x v="2"/>
    <n v="174"/>
    <n v="8.6999999999999993"/>
    <n v="108336"/>
    <n v="184"/>
    <n v="4.5"/>
  </r>
  <r>
    <n v="301"/>
    <x v="0"/>
    <x v="1"/>
    <x v="6"/>
    <x v="3"/>
    <n v="84"/>
    <n v="8.1"/>
    <n v="416041"/>
    <n v="195"/>
    <n v="4.9000000000000004"/>
  </r>
  <r>
    <n v="302"/>
    <x v="1"/>
    <x v="1"/>
    <x v="6"/>
    <x v="3"/>
    <n v="84"/>
    <n v="4.9000000000000004"/>
    <n v="863853"/>
    <n v="228"/>
    <n v="4.7"/>
  </r>
  <r>
    <n v="303"/>
    <x v="2"/>
    <x v="1"/>
    <x v="6"/>
    <x v="3"/>
    <n v="84"/>
    <n v="9.6"/>
    <n v="305169"/>
    <n v="220"/>
    <n v="4.7"/>
  </r>
  <r>
    <n v="304"/>
    <x v="3"/>
    <x v="1"/>
    <x v="6"/>
    <x v="3"/>
    <n v="84"/>
    <n v="9.6"/>
    <n v="181578"/>
    <n v="233"/>
    <n v="4.3"/>
  </r>
  <r>
    <n v="305"/>
    <x v="4"/>
    <x v="1"/>
    <x v="6"/>
    <x v="3"/>
    <n v="84"/>
    <n v="5.2"/>
    <n v="428787"/>
    <n v="196"/>
    <n v="4.8"/>
  </r>
  <r>
    <n v="306"/>
    <x v="5"/>
    <x v="1"/>
    <x v="6"/>
    <x v="3"/>
    <n v="84"/>
    <n v="5.3"/>
    <n v="675797"/>
    <n v="56"/>
    <n v="4.5"/>
  </r>
  <r>
    <n v="307"/>
    <x v="6"/>
    <x v="1"/>
    <x v="6"/>
    <x v="3"/>
    <n v="84"/>
    <n v="6"/>
    <n v="405412"/>
    <n v="89"/>
    <n v="4.4000000000000004"/>
  </r>
  <r>
    <n v="308"/>
    <x v="7"/>
    <x v="1"/>
    <x v="6"/>
    <x v="3"/>
    <n v="84"/>
    <n v="7.4"/>
    <n v="661372"/>
    <n v="77"/>
    <n v="4.5999999999999996"/>
  </r>
  <r>
    <n v="309"/>
    <x v="8"/>
    <x v="1"/>
    <x v="6"/>
    <x v="3"/>
    <n v="84"/>
    <n v="9.4"/>
    <n v="217337"/>
    <n v="46"/>
    <n v="4.5"/>
  </r>
  <r>
    <n v="310"/>
    <x v="9"/>
    <x v="1"/>
    <x v="6"/>
    <x v="3"/>
    <n v="84"/>
    <n v="5.7"/>
    <n v="556715"/>
    <n v="29"/>
    <n v="4.4000000000000004"/>
  </r>
  <r>
    <n v="311"/>
    <x v="0"/>
    <x v="1"/>
    <x v="7"/>
    <x v="4"/>
    <n v="68"/>
    <n v="9.6999999999999993"/>
    <n v="445457"/>
    <n v="66"/>
    <n v="4.9000000000000004"/>
  </r>
  <r>
    <n v="312"/>
    <x v="1"/>
    <x v="1"/>
    <x v="7"/>
    <x v="4"/>
    <n v="68"/>
    <n v="9.1"/>
    <n v="602110"/>
    <n v="116"/>
    <n v="4.5999999999999996"/>
  </r>
  <r>
    <n v="313"/>
    <x v="2"/>
    <x v="1"/>
    <x v="7"/>
    <x v="4"/>
    <n v="68"/>
    <n v="4.7"/>
    <n v="181497"/>
    <n v="115"/>
    <n v="4.3"/>
  </r>
  <r>
    <n v="314"/>
    <x v="3"/>
    <x v="1"/>
    <x v="7"/>
    <x v="4"/>
    <n v="68"/>
    <n v="8.9"/>
    <n v="440810"/>
    <n v="242"/>
    <n v="4.7"/>
  </r>
  <r>
    <n v="315"/>
    <x v="4"/>
    <x v="1"/>
    <x v="7"/>
    <x v="4"/>
    <n v="68"/>
    <n v="5"/>
    <n v="639674"/>
    <n v="235"/>
    <n v="4.3"/>
  </r>
  <r>
    <n v="316"/>
    <x v="5"/>
    <x v="1"/>
    <x v="7"/>
    <x v="4"/>
    <n v="68"/>
    <n v="7.1"/>
    <n v="828483"/>
    <n v="228"/>
    <n v="4.8"/>
  </r>
  <r>
    <n v="317"/>
    <x v="6"/>
    <x v="1"/>
    <x v="7"/>
    <x v="4"/>
    <n v="68"/>
    <n v="4.3"/>
    <n v="492246"/>
    <n v="58"/>
    <n v="4.7"/>
  </r>
  <r>
    <n v="318"/>
    <x v="7"/>
    <x v="1"/>
    <x v="7"/>
    <x v="4"/>
    <n v="68"/>
    <n v="2.4"/>
    <n v="389879"/>
    <n v="232"/>
    <n v="4.5999999999999996"/>
  </r>
  <r>
    <n v="319"/>
    <x v="8"/>
    <x v="1"/>
    <x v="7"/>
    <x v="4"/>
    <n v="68"/>
    <n v="3.6"/>
    <n v="246915"/>
    <n v="111"/>
    <n v="4.8"/>
  </r>
  <r>
    <n v="320"/>
    <x v="9"/>
    <x v="1"/>
    <x v="7"/>
    <x v="4"/>
    <n v="68"/>
    <n v="4.8"/>
    <n v="499420"/>
    <n v="118"/>
    <n v="4.8"/>
  </r>
  <r>
    <n v="321"/>
    <x v="0"/>
    <x v="1"/>
    <x v="8"/>
    <x v="5"/>
    <n v="138"/>
    <n v="4.3"/>
    <n v="767798"/>
    <n v="74"/>
    <n v="4.8"/>
  </r>
  <r>
    <n v="322"/>
    <x v="1"/>
    <x v="1"/>
    <x v="8"/>
    <x v="5"/>
    <n v="138"/>
    <n v="7.1"/>
    <n v="335133"/>
    <n v="22"/>
    <n v="4.3"/>
  </r>
  <r>
    <n v="323"/>
    <x v="2"/>
    <x v="1"/>
    <x v="8"/>
    <x v="5"/>
    <n v="138"/>
    <n v="6.2"/>
    <n v="275329"/>
    <n v="56"/>
    <n v="4.2"/>
  </r>
  <r>
    <n v="324"/>
    <x v="3"/>
    <x v="1"/>
    <x v="8"/>
    <x v="5"/>
    <n v="138"/>
    <n v="9.9"/>
    <n v="877246"/>
    <n v="116"/>
    <n v="4.4000000000000004"/>
  </r>
  <r>
    <n v="325"/>
    <x v="4"/>
    <x v="1"/>
    <x v="8"/>
    <x v="5"/>
    <n v="138"/>
    <n v="7.2"/>
    <n v="348533"/>
    <n v="171"/>
    <n v="4.5999999999999996"/>
  </r>
  <r>
    <n v="326"/>
    <x v="5"/>
    <x v="1"/>
    <x v="8"/>
    <x v="5"/>
    <n v="138"/>
    <n v="6.2"/>
    <n v="323288"/>
    <n v="53"/>
    <n v="4.7"/>
  </r>
  <r>
    <n v="327"/>
    <x v="6"/>
    <x v="1"/>
    <x v="8"/>
    <x v="5"/>
    <n v="138"/>
    <n v="3.1"/>
    <n v="331126"/>
    <n v="46"/>
    <n v="4.5"/>
  </r>
  <r>
    <n v="328"/>
    <x v="7"/>
    <x v="1"/>
    <x v="8"/>
    <x v="5"/>
    <n v="138"/>
    <n v="4"/>
    <n v="821321"/>
    <n v="185"/>
    <n v="4.4000000000000004"/>
  </r>
  <r>
    <n v="329"/>
    <x v="8"/>
    <x v="1"/>
    <x v="8"/>
    <x v="5"/>
    <n v="138"/>
    <n v="2.7"/>
    <n v="724696"/>
    <n v="214"/>
    <n v="4.8"/>
  </r>
  <r>
    <n v="330"/>
    <x v="9"/>
    <x v="1"/>
    <x v="8"/>
    <x v="5"/>
    <n v="138"/>
    <n v="8.6"/>
    <n v="872918"/>
    <n v="215"/>
    <n v="4.8"/>
  </r>
  <r>
    <n v="331"/>
    <x v="0"/>
    <x v="1"/>
    <x v="9"/>
    <x v="5"/>
    <n v="154"/>
    <n v="5.6"/>
    <n v="887396"/>
    <n v="165"/>
    <n v="4.5999999999999996"/>
  </r>
  <r>
    <n v="332"/>
    <x v="1"/>
    <x v="1"/>
    <x v="9"/>
    <x v="5"/>
    <n v="154"/>
    <n v="5"/>
    <n v="150734"/>
    <n v="241"/>
    <n v="4.8"/>
  </r>
  <r>
    <n v="333"/>
    <x v="2"/>
    <x v="1"/>
    <x v="9"/>
    <x v="5"/>
    <n v="154"/>
    <n v="5.5"/>
    <n v="138558"/>
    <n v="86"/>
    <n v="4.7"/>
  </r>
  <r>
    <n v="334"/>
    <x v="3"/>
    <x v="1"/>
    <x v="9"/>
    <x v="5"/>
    <n v="154"/>
    <n v="4.5"/>
    <n v="502758"/>
    <n v="177"/>
    <n v="4.3"/>
  </r>
  <r>
    <n v="335"/>
    <x v="4"/>
    <x v="1"/>
    <x v="9"/>
    <x v="5"/>
    <n v="154"/>
    <n v="8.3000000000000007"/>
    <n v="314163"/>
    <n v="113"/>
    <n v="4.8"/>
  </r>
  <r>
    <n v="336"/>
    <x v="5"/>
    <x v="1"/>
    <x v="9"/>
    <x v="5"/>
    <n v="154"/>
    <n v="2"/>
    <n v="509277"/>
    <n v="128"/>
    <n v="4.7"/>
  </r>
  <r>
    <n v="337"/>
    <x v="6"/>
    <x v="1"/>
    <x v="9"/>
    <x v="5"/>
    <n v="154"/>
    <n v="4.2"/>
    <n v="781275"/>
    <n v="228"/>
    <n v="4.5"/>
  </r>
  <r>
    <n v="338"/>
    <x v="7"/>
    <x v="1"/>
    <x v="9"/>
    <x v="5"/>
    <n v="154"/>
    <n v="7.8"/>
    <n v="497959"/>
    <n v="30"/>
    <n v="4.7"/>
  </r>
  <r>
    <n v="339"/>
    <x v="8"/>
    <x v="1"/>
    <x v="9"/>
    <x v="5"/>
    <n v="154"/>
    <n v="3.5"/>
    <n v="225937"/>
    <n v="60"/>
    <n v="4.7"/>
  </r>
  <r>
    <n v="340"/>
    <x v="9"/>
    <x v="1"/>
    <x v="9"/>
    <x v="5"/>
    <n v="154"/>
    <n v="4.8"/>
    <n v="366802"/>
    <n v="105"/>
    <n v="4.8"/>
  </r>
  <r>
    <n v="341"/>
    <x v="0"/>
    <x v="1"/>
    <x v="10"/>
    <x v="6"/>
    <n v="38"/>
    <n v="2.8"/>
    <n v="831852"/>
    <n v="156"/>
    <n v="4.4000000000000004"/>
  </r>
  <r>
    <n v="342"/>
    <x v="1"/>
    <x v="1"/>
    <x v="10"/>
    <x v="6"/>
    <n v="38"/>
    <n v="5.7"/>
    <n v="483220"/>
    <n v="213"/>
    <n v="4.4000000000000004"/>
  </r>
  <r>
    <n v="343"/>
    <x v="2"/>
    <x v="1"/>
    <x v="10"/>
    <x v="6"/>
    <n v="38"/>
    <n v="9.1999999999999993"/>
    <n v="155358"/>
    <n v="37"/>
    <n v="4.5999999999999996"/>
  </r>
  <r>
    <n v="344"/>
    <x v="3"/>
    <x v="1"/>
    <x v="10"/>
    <x v="6"/>
    <n v="38"/>
    <n v="5.4"/>
    <n v="368455"/>
    <n v="144"/>
    <n v="4.7"/>
  </r>
  <r>
    <n v="345"/>
    <x v="4"/>
    <x v="1"/>
    <x v="10"/>
    <x v="6"/>
    <n v="38"/>
    <n v="2.7"/>
    <n v="833677"/>
    <n v="130"/>
    <n v="4.4000000000000004"/>
  </r>
  <r>
    <n v="346"/>
    <x v="5"/>
    <x v="1"/>
    <x v="10"/>
    <x v="6"/>
    <n v="38"/>
    <n v="4.3"/>
    <n v="515946"/>
    <n v="51"/>
    <n v="4.3"/>
  </r>
  <r>
    <n v="347"/>
    <x v="6"/>
    <x v="1"/>
    <x v="10"/>
    <x v="6"/>
    <n v="38"/>
    <n v="7.5"/>
    <n v="112639"/>
    <n v="156"/>
    <n v="4.8"/>
  </r>
  <r>
    <n v="348"/>
    <x v="7"/>
    <x v="1"/>
    <x v="10"/>
    <x v="6"/>
    <n v="38"/>
    <n v="7.7"/>
    <n v="450248"/>
    <n v="147"/>
    <n v="4.7"/>
  </r>
  <r>
    <n v="349"/>
    <x v="8"/>
    <x v="1"/>
    <x v="10"/>
    <x v="6"/>
    <n v="38"/>
    <n v="2.1"/>
    <n v="673352"/>
    <n v="176"/>
    <n v="4.4000000000000004"/>
  </r>
  <r>
    <n v="350"/>
    <x v="9"/>
    <x v="1"/>
    <x v="10"/>
    <x v="6"/>
    <n v="38"/>
    <n v="9"/>
    <n v="129635"/>
    <n v="221"/>
    <n v="4.4000000000000004"/>
  </r>
  <r>
    <n v="351"/>
    <x v="0"/>
    <x v="1"/>
    <x v="11"/>
    <x v="7"/>
    <n v="11"/>
    <n v="9.6"/>
    <n v="355636"/>
    <n v="149"/>
    <n v="4.8"/>
  </r>
  <r>
    <n v="352"/>
    <x v="1"/>
    <x v="1"/>
    <x v="11"/>
    <x v="7"/>
    <n v="11"/>
    <n v="3.8"/>
    <n v="596750"/>
    <n v="129"/>
    <n v="4.3"/>
  </r>
  <r>
    <n v="353"/>
    <x v="2"/>
    <x v="1"/>
    <x v="11"/>
    <x v="7"/>
    <n v="11"/>
    <n v="4.5"/>
    <n v="617387"/>
    <n v="59"/>
    <n v="4.5"/>
  </r>
  <r>
    <n v="354"/>
    <x v="3"/>
    <x v="1"/>
    <x v="11"/>
    <x v="7"/>
    <n v="11"/>
    <n v="4"/>
    <n v="319802"/>
    <n v="202"/>
    <n v="4.5999999999999996"/>
  </r>
  <r>
    <n v="355"/>
    <x v="4"/>
    <x v="1"/>
    <x v="11"/>
    <x v="7"/>
    <n v="11"/>
    <n v="5.0999999999999996"/>
    <n v="555620"/>
    <n v="243"/>
    <n v="4.3"/>
  </r>
  <r>
    <n v="356"/>
    <x v="5"/>
    <x v="1"/>
    <x v="11"/>
    <x v="7"/>
    <n v="11"/>
    <n v="6.3"/>
    <n v="196458"/>
    <n v="90"/>
    <n v="4.5"/>
  </r>
  <r>
    <n v="357"/>
    <x v="6"/>
    <x v="1"/>
    <x v="11"/>
    <x v="7"/>
    <n v="11"/>
    <n v="3.1"/>
    <n v="880970"/>
    <n v="71"/>
    <n v="4.2"/>
  </r>
  <r>
    <n v="358"/>
    <x v="7"/>
    <x v="1"/>
    <x v="11"/>
    <x v="7"/>
    <n v="11"/>
    <n v="4.8"/>
    <n v="601378"/>
    <n v="99"/>
    <n v="4.5999999999999996"/>
  </r>
  <r>
    <n v="359"/>
    <x v="8"/>
    <x v="1"/>
    <x v="11"/>
    <x v="7"/>
    <n v="11"/>
    <n v="8.6"/>
    <n v="125045"/>
    <n v="239"/>
    <n v="4.7"/>
  </r>
  <r>
    <n v="360"/>
    <x v="9"/>
    <x v="1"/>
    <x v="11"/>
    <x v="7"/>
    <n v="11"/>
    <n v="6.9"/>
    <n v="182702"/>
    <n v="68"/>
    <n v="4.4000000000000004"/>
  </r>
  <r>
    <n v="361"/>
    <x v="0"/>
    <x v="1"/>
    <x v="12"/>
    <x v="8"/>
    <n v="133"/>
    <n v="9.8000000000000007"/>
    <n v="195179"/>
    <n v="114"/>
    <n v="4.5"/>
  </r>
  <r>
    <n v="362"/>
    <x v="1"/>
    <x v="1"/>
    <x v="12"/>
    <x v="8"/>
    <n v="133"/>
    <n v="6"/>
    <n v="752051"/>
    <n v="170"/>
    <n v="4.8"/>
  </r>
  <r>
    <n v="363"/>
    <x v="2"/>
    <x v="1"/>
    <x v="12"/>
    <x v="8"/>
    <n v="133"/>
    <n v="8.6"/>
    <n v="726748"/>
    <n v="249"/>
    <n v="4.7"/>
  </r>
  <r>
    <n v="364"/>
    <x v="3"/>
    <x v="1"/>
    <x v="12"/>
    <x v="8"/>
    <n v="133"/>
    <n v="6.5"/>
    <n v="854833"/>
    <n v="140"/>
    <n v="4.5999999999999996"/>
  </r>
  <r>
    <n v="365"/>
    <x v="4"/>
    <x v="1"/>
    <x v="12"/>
    <x v="8"/>
    <n v="133"/>
    <n v="5.9"/>
    <n v="596570"/>
    <n v="56"/>
    <n v="4.8"/>
  </r>
  <r>
    <n v="366"/>
    <x v="5"/>
    <x v="1"/>
    <x v="12"/>
    <x v="8"/>
    <n v="133"/>
    <n v="6.6"/>
    <n v="415222"/>
    <n v="39"/>
    <n v="4.8"/>
  </r>
  <r>
    <n v="367"/>
    <x v="6"/>
    <x v="1"/>
    <x v="12"/>
    <x v="8"/>
    <n v="133"/>
    <n v="7.2"/>
    <n v="728929"/>
    <n v="173"/>
    <n v="4.9000000000000004"/>
  </r>
  <r>
    <n v="368"/>
    <x v="7"/>
    <x v="1"/>
    <x v="12"/>
    <x v="8"/>
    <n v="133"/>
    <n v="4.0999999999999996"/>
    <n v="810854"/>
    <n v="138"/>
    <n v="4.7"/>
  </r>
  <r>
    <n v="369"/>
    <x v="8"/>
    <x v="1"/>
    <x v="12"/>
    <x v="8"/>
    <n v="133"/>
    <n v="4.9000000000000004"/>
    <n v="897676"/>
    <n v="81"/>
    <n v="4.3"/>
  </r>
  <r>
    <n v="370"/>
    <x v="9"/>
    <x v="1"/>
    <x v="12"/>
    <x v="8"/>
    <n v="133"/>
    <n v="6.8"/>
    <n v="397707"/>
    <n v="113"/>
    <n v="4.9000000000000004"/>
  </r>
  <r>
    <n v="371"/>
    <x v="0"/>
    <x v="1"/>
    <x v="13"/>
    <x v="0"/>
    <n v="58"/>
    <n v="5.4"/>
    <n v="320110"/>
    <n v="33"/>
    <n v="4.5"/>
  </r>
  <r>
    <n v="372"/>
    <x v="1"/>
    <x v="1"/>
    <x v="13"/>
    <x v="0"/>
    <n v="58"/>
    <n v="6.6"/>
    <n v="832639"/>
    <n v="68"/>
    <n v="4.8"/>
  </r>
  <r>
    <n v="373"/>
    <x v="2"/>
    <x v="1"/>
    <x v="13"/>
    <x v="0"/>
    <n v="58"/>
    <n v="3.6"/>
    <n v="634860"/>
    <n v="100"/>
    <n v="4.5999999999999996"/>
  </r>
  <r>
    <n v="374"/>
    <x v="3"/>
    <x v="1"/>
    <x v="13"/>
    <x v="0"/>
    <n v="58"/>
    <n v="3.7"/>
    <n v="319671"/>
    <n v="196"/>
    <n v="4.5"/>
  </r>
  <r>
    <n v="375"/>
    <x v="4"/>
    <x v="1"/>
    <x v="13"/>
    <x v="0"/>
    <n v="58"/>
    <n v="2.1"/>
    <n v="503533"/>
    <n v="177"/>
    <n v="4.3"/>
  </r>
  <r>
    <n v="376"/>
    <x v="5"/>
    <x v="1"/>
    <x v="13"/>
    <x v="0"/>
    <n v="58"/>
    <n v="8.5"/>
    <n v="608658"/>
    <n v="246"/>
    <n v="4.8"/>
  </r>
  <r>
    <n v="377"/>
    <x v="6"/>
    <x v="1"/>
    <x v="13"/>
    <x v="0"/>
    <n v="58"/>
    <n v="2.4"/>
    <n v="300114"/>
    <n v="222"/>
    <n v="4.7"/>
  </r>
  <r>
    <n v="378"/>
    <x v="7"/>
    <x v="1"/>
    <x v="13"/>
    <x v="0"/>
    <n v="58"/>
    <n v="9.6999999999999993"/>
    <n v="480829"/>
    <n v="219"/>
    <n v="4.8"/>
  </r>
  <r>
    <n v="379"/>
    <x v="8"/>
    <x v="1"/>
    <x v="13"/>
    <x v="0"/>
    <n v="58"/>
    <n v="2.4"/>
    <n v="704220"/>
    <n v="75"/>
    <n v="4.7"/>
  </r>
  <r>
    <n v="380"/>
    <x v="9"/>
    <x v="1"/>
    <x v="13"/>
    <x v="0"/>
    <n v="58"/>
    <n v="7.7"/>
    <n v="533704"/>
    <n v="78"/>
    <n v="4.7"/>
  </r>
  <r>
    <n v="381"/>
    <x v="0"/>
    <x v="1"/>
    <x v="14"/>
    <x v="9"/>
    <n v="131"/>
    <n v="9.1999999999999993"/>
    <n v="749413"/>
    <n v="136"/>
    <n v="4.2"/>
  </r>
  <r>
    <n v="382"/>
    <x v="1"/>
    <x v="1"/>
    <x v="14"/>
    <x v="9"/>
    <n v="131"/>
    <n v="7.7"/>
    <n v="537939"/>
    <n v="246"/>
    <n v="4.3"/>
  </r>
  <r>
    <n v="383"/>
    <x v="2"/>
    <x v="1"/>
    <x v="14"/>
    <x v="9"/>
    <n v="131"/>
    <n v="5.2"/>
    <n v="740081"/>
    <n v="170"/>
    <n v="4.4000000000000004"/>
  </r>
  <r>
    <n v="384"/>
    <x v="3"/>
    <x v="1"/>
    <x v="14"/>
    <x v="9"/>
    <n v="131"/>
    <n v="9"/>
    <n v="347068"/>
    <n v="159"/>
    <n v="4.3"/>
  </r>
  <r>
    <n v="385"/>
    <x v="4"/>
    <x v="1"/>
    <x v="14"/>
    <x v="9"/>
    <n v="131"/>
    <n v="8.4"/>
    <n v="565564"/>
    <n v="31"/>
    <n v="4.7"/>
  </r>
  <r>
    <n v="386"/>
    <x v="5"/>
    <x v="1"/>
    <x v="14"/>
    <x v="9"/>
    <n v="131"/>
    <n v="7.5"/>
    <n v="744731"/>
    <n v="131"/>
    <n v="4.5999999999999996"/>
  </r>
  <r>
    <n v="387"/>
    <x v="6"/>
    <x v="1"/>
    <x v="14"/>
    <x v="9"/>
    <n v="131"/>
    <n v="6.1"/>
    <n v="472761"/>
    <n v="224"/>
    <n v="4.4000000000000004"/>
  </r>
  <r>
    <n v="388"/>
    <x v="7"/>
    <x v="1"/>
    <x v="14"/>
    <x v="9"/>
    <n v="131"/>
    <n v="4.5"/>
    <n v="532005"/>
    <n v="102"/>
    <n v="4.4000000000000004"/>
  </r>
  <r>
    <n v="389"/>
    <x v="8"/>
    <x v="1"/>
    <x v="14"/>
    <x v="9"/>
    <n v="131"/>
    <n v="9.5"/>
    <n v="239806"/>
    <n v="64"/>
    <n v="4.5"/>
  </r>
  <r>
    <n v="390"/>
    <x v="9"/>
    <x v="1"/>
    <x v="14"/>
    <x v="9"/>
    <n v="131"/>
    <n v="4.4000000000000004"/>
    <n v="666978"/>
    <n v="189"/>
    <n v="4.4000000000000004"/>
  </r>
  <r>
    <n v="391"/>
    <x v="0"/>
    <x v="1"/>
    <x v="15"/>
    <x v="10"/>
    <n v="79"/>
    <n v="6.3"/>
    <n v="540288"/>
    <n v="51"/>
    <n v="4.3"/>
  </r>
  <r>
    <n v="392"/>
    <x v="1"/>
    <x v="1"/>
    <x v="15"/>
    <x v="10"/>
    <n v="79"/>
    <n v="3.1"/>
    <n v="362106"/>
    <n v="72"/>
    <n v="4.8"/>
  </r>
  <r>
    <n v="393"/>
    <x v="2"/>
    <x v="1"/>
    <x v="15"/>
    <x v="10"/>
    <n v="79"/>
    <n v="7.6"/>
    <n v="125933"/>
    <n v="104"/>
    <n v="4.4000000000000004"/>
  </r>
  <r>
    <n v="394"/>
    <x v="3"/>
    <x v="1"/>
    <x v="15"/>
    <x v="10"/>
    <n v="79"/>
    <n v="4.9000000000000004"/>
    <n v="618202"/>
    <n v="230"/>
    <n v="4.3"/>
  </r>
  <r>
    <n v="395"/>
    <x v="4"/>
    <x v="1"/>
    <x v="15"/>
    <x v="10"/>
    <n v="79"/>
    <n v="6.9"/>
    <n v="439664"/>
    <n v="97"/>
    <n v="4.5"/>
  </r>
  <r>
    <n v="396"/>
    <x v="5"/>
    <x v="1"/>
    <x v="15"/>
    <x v="10"/>
    <n v="79"/>
    <n v="9.1999999999999993"/>
    <n v="184752"/>
    <n v="105"/>
    <n v="4.8"/>
  </r>
  <r>
    <n v="397"/>
    <x v="6"/>
    <x v="1"/>
    <x v="15"/>
    <x v="10"/>
    <n v="79"/>
    <n v="3.4"/>
    <n v="414492"/>
    <n v="31"/>
    <n v="4.3"/>
  </r>
  <r>
    <n v="398"/>
    <x v="7"/>
    <x v="1"/>
    <x v="15"/>
    <x v="10"/>
    <n v="79"/>
    <n v="8.1999999999999993"/>
    <n v="871914"/>
    <n v="78"/>
    <n v="4.9000000000000004"/>
  </r>
  <r>
    <n v="399"/>
    <x v="8"/>
    <x v="1"/>
    <x v="15"/>
    <x v="10"/>
    <n v="79"/>
    <n v="2.1"/>
    <n v="739266"/>
    <n v="46"/>
    <n v="4.9000000000000004"/>
  </r>
  <r>
    <n v="400"/>
    <x v="9"/>
    <x v="1"/>
    <x v="15"/>
    <x v="10"/>
    <n v="79"/>
    <n v="5.2"/>
    <n v="306007"/>
    <n v="198"/>
    <n v="4.8"/>
  </r>
  <r>
    <n v="401"/>
    <x v="0"/>
    <x v="1"/>
    <x v="16"/>
    <x v="1"/>
    <n v="110"/>
    <n v="7.5"/>
    <n v="538254"/>
    <n v="168"/>
    <n v="4.3"/>
  </r>
  <r>
    <n v="402"/>
    <x v="1"/>
    <x v="1"/>
    <x v="16"/>
    <x v="1"/>
    <n v="110"/>
    <n v="3.1"/>
    <n v="361786"/>
    <n v="89"/>
    <n v="4.8"/>
  </r>
  <r>
    <n v="403"/>
    <x v="2"/>
    <x v="1"/>
    <x v="16"/>
    <x v="1"/>
    <n v="110"/>
    <n v="3.3"/>
    <n v="514043"/>
    <n v="202"/>
    <n v="4.5999999999999996"/>
  </r>
  <r>
    <n v="404"/>
    <x v="3"/>
    <x v="1"/>
    <x v="16"/>
    <x v="1"/>
    <n v="110"/>
    <n v="5.8"/>
    <n v="247594"/>
    <n v="109"/>
    <n v="4.5"/>
  </r>
  <r>
    <n v="405"/>
    <x v="4"/>
    <x v="1"/>
    <x v="16"/>
    <x v="1"/>
    <n v="110"/>
    <n v="6.9"/>
    <n v="103978"/>
    <n v="225"/>
    <n v="4.8"/>
  </r>
  <r>
    <n v="406"/>
    <x v="5"/>
    <x v="1"/>
    <x v="16"/>
    <x v="1"/>
    <n v="110"/>
    <n v="7.9"/>
    <n v="154583"/>
    <n v="197"/>
    <n v="4.8"/>
  </r>
  <r>
    <n v="407"/>
    <x v="6"/>
    <x v="1"/>
    <x v="16"/>
    <x v="1"/>
    <n v="110"/>
    <n v="8.9"/>
    <n v="355851"/>
    <n v="94"/>
    <n v="4.8"/>
  </r>
  <r>
    <n v="408"/>
    <x v="7"/>
    <x v="1"/>
    <x v="16"/>
    <x v="1"/>
    <n v="110"/>
    <n v="7.1"/>
    <n v="683107"/>
    <n v="21"/>
    <n v="4.4000000000000004"/>
  </r>
  <r>
    <n v="409"/>
    <x v="8"/>
    <x v="1"/>
    <x v="16"/>
    <x v="1"/>
    <n v="110"/>
    <n v="2.2999999999999998"/>
    <n v="591941"/>
    <n v="250"/>
    <n v="4.5"/>
  </r>
  <r>
    <n v="410"/>
    <x v="9"/>
    <x v="1"/>
    <x v="16"/>
    <x v="1"/>
    <n v="110"/>
    <n v="3.5"/>
    <n v="379837"/>
    <n v="137"/>
    <n v="4.8"/>
  </r>
  <r>
    <n v="411"/>
    <x v="0"/>
    <x v="1"/>
    <x v="17"/>
    <x v="4"/>
    <n v="167"/>
    <n v="8.6999999999999993"/>
    <n v="526829"/>
    <n v="175"/>
    <n v="4.7"/>
  </r>
  <r>
    <n v="412"/>
    <x v="1"/>
    <x v="1"/>
    <x v="17"/>
    <x v="4"/>
    <n v="167"/>
    <n v="9.5"/>
    <n v="289554"/>
    <n v="187"/>
    <n v="4.2"/>
  </r>
  <r>
    <n v="413"/>
    <x v="2"/>
    <x v="1"/>
    <x v="17"/>
    <x v="4"/>
    <n v="167"/>
    <n v="2.7"/>
    <n v="289873"/>
    <n v="152"/>
    <n v="4.7"/>
  </r>
  <r>
    <n v="414"/>
    <x v="3"/>
    <x v="1"/>
    <x v="17"/>
    <x v="4"/>
    <n v="167"/>
    <n v="6.5"/>
    <n v="443454"/>
    <n v="192"/>
    <n v="4.5"/>
  </r>
  <r>
    <n v="415"/>
    <x v="4"/>
    <x v="1"/>
    <x v="17"/>
    <x v="4"/>
    <n v="167"/>
    <n v="5.4"/>
    <n v="615302"/>
    <n v="201"/>
    <n v="4.5"/>
  </r>
  <r>
    <n v="416"/>
    <x v="5"/>
    <x v="1"/>
    <x v="17"/>
    <x v="4"/>
    <n v="167"/>
    <n v="7.3"/>
    <n v="803857"/>
    <n v="21"/>
    <n v="4.5999999999999996"/>
  </r>
  <r>
    <n v="417"/>
    <x v="6"/>
    <x v="1"/>
    <x v="17"/>
    <x v="4"/>
    <n v="167"/>
    <n v="4.9000000000000004"/>
    <n v="821784"/>
    <n v="110"/>
    <n v="4.5999999999999996"/>
  </r>
  <r>
    <n v="418"/>
    <x v="7"/>
    <x v="1"/>
    <x v="17"/>
    <x v="4"/>
    <n v="167"/>
    <n v="4.5999999999999996"/>
    <n v="203077"/>
    <n v="28"/>
    <n v="4.7"/>
  </r>
  <r>
    <n v="419"/>
    <x v="8"/>
    <x v="1"/>
    <x v="17"/>
    <x v="4"/>
    <n v="167"/>
    <n v="7.6"/>
    <n v="359466"/>
    <n v="120"/>
    <n v="4.5999999999999996"/>
  </r>
  <r>
    <n v="420"/>
    <x v="9"/>
    <x v="1"/>
    <x v="17"/>
    <x v="4"/>
    <n v="167"/>
    <n v="8.4"/>
    <n v="689317"/>
    <n v="65"/>
    <n v="4.4000000000000004"/>
  </r>
  <r>
    <n v="421"/>
    <x v="0"/>
    <x v="1"/>
    <x v="18"/>
    <x v="5"/>
    <n v="100"/>
    <n v="9"/>
    <n v="780736"/>
    <n v="129"/>
    <n v="4.8"/>
  </r>
  <r>
    <n v="422"/>
    <x v="1"/>
    <x v="1"/>
    <x v="18"/>
    <x v="5"/>
    <n v="100"/>
    <n v="4.5999999999999996"/>
    <n v="611560"/>
    <n v="147"/>
    <n v="4.8"/>
  </r>
  <r>
    <n v="423"/>
    <x v="2"/>
    <x v="1"/>
    <x v="18"/>
    <x v="5"/>
    <n v="100"/>
    <n v="3.8"/>
    <n v="229552"/>
    <n v="121"/>
    <n v="4.9000000000000004"/>
  </r>
  <r>
    <n v="424"/>
    <x v="3"/>
    <x v="1"/>
    <x v="18"/>
    <x v="5"/>
    <n v="100"/>
    <n v="4.5"/>
    <n v="216426"/>
    <n v="105"/>
    <n v="4.4000000000000004"/>
  </r>
  <r>
    <n v="425"/>
    <x v="4"/>
    <x v="1"/>
    <x v="18"/>
    <x v="5"/>
    <n v="100"/>
    <n v="3.2"/>
    <n v="673407"/>
    <n v="176"/>
    <n v="4.4000000000000004"/>
  </r>
  <r>
    <n v="426"/>
    <x v="5"/>
    <x v="1"/>
    <x v="18"/>
    <x v="5"/>
    <n v="100"/>
    <n v="7.1"/>
    <n v="307479"/>
    <n v="208"/>
    <n v="4.3"/>
  </r>
  <r>
    <n v="427"/>
    <x v="6"/>
    <x v="1"/>
    <x v="18"/>
    <x v="5"/>
    <n v="100"/>
    <n v="3.7"/>
    <n v="653706"/>
    <n v="130"/>
    <n v="4.3"/>
  </r>
  <r>
    <n v="428"/>
    <x v="7"/>
    <x v="1"/>
    <x v="18"/>
    <x v="5"/>
    <n v="100"/>
    <n v="5.3"/>
    <n v="186386"/>
    <n v="132"/>
    <n v="4.9000000000000004"/>
  </r>
  <r>
    <n v="429"/>
    <x v="8"/>
    <x v="1"/>
    <x v="18"/>
    <x v="5"/>
    <n v="100"/>
    <n v="9.6"/>
    <n v="860226"/>
    <n v="78"/>
    <n v="4.2"/>
  </r>
  <r>
    <n v="430"/>
    <x v="9"/>
    <x v="1"/>
    <x v="18"/>
    <x v="5"/>
    <n v="100"/>
    <n v="7.1"/>
    <n v="139843"/>
    <n v="84"/>
    <n v="4.2"/>
  </r>
  <r>
    <n v="431"/>
    <x v="0"/>
    <x v="1"/>
    <x v="19"/>
    <x v="11"/>
    <n v="14"/>
    <n v="9.6"/>
    <n v="547001"/>
    <n v="153"/>
    <n v="4.3"/>
  </r>
  <r>
    <n v="432"/>
    <x v="1"/>
    <x v="1"/>
    <x v="19"/>
    <x v="11"/>
    <n v="14"/>
    <n v="9.9"/>
    <n v="538538"/>
    <n v="208"/>
    <n v="4.8"/>
  </r>
  <r>
    <n v="433"/>
    <x v="2"/>
    <x v="1"/>
    <x v="19"/>
    <x v="11"/>
    <n v="14"/>
    <n v="9.9"/>
    <n v="476468"/>
    <n v="245"/>
    <n v="4.5999999999999996"/>
  </r>
  <r>
    <n v="434"/>
    <x v="3"/>
    <x v="1"/>
    <x v="19"/>
    <x v="11"/>
    <n v="14"/>
    <n v="3.2"/>
    <n v="680651"/>
    <n v="32"/>
    <n v="4.7"/>
  </r>
  <r>
    <n v="435"/>
    <x v="4"/>
    <x v="1"/>
    <x v="19"/>
    <x v="11"/>
    <n v="14"/>
    <n v="6.4"/>
    <n v="351329"/>
    <n v="214"/>
    <n v="4.4000000000000004"/>
  </r>
  <r>
    <n v="436"/>
    <x v="5"/>
    <x v="1"/>
    <x v="19"/>
    <x v="11"/>
    <n v="14"/>
    <n v="4.5999999999999996"/>
    <n v="586756"/>
    <n v="52"/>
    <n v="4.5999999999999996"/>
  </r>
  <r>
    <n v="437"/>
    <x v="6"/>
    <x v="1"/>
    <x v="19"/>
    <x v="11"/>
    <n v="14"/>
    <n v="9.1999999999999993"/>
    <n v="698033"/>
    <n v="137"/>
    <n v="4.3"/>
  </r>
  <r>
    <n v="438"/>
    <x v="7"/>
    <x v="1"/>
    <x v="19"/>
    <x v="11"/>
    <n v="14"/>
    <n v="3.5"/>
    <n v="336439"/>
    <n v="180"/>
    <n v="4.5"/>
  </r>
  <r>
    <n v="439"/>
    <x v="8"/>
    <x v="1"/>
    <x v="19"/>
    <x v="11"/>
    <n v="14"/>
    <n v="3.9"/>
    <n v="457528"/>
    <n v="72"/>
    <n v="4.8"/>
  </r>
  <r>
    <n v="440"/>
    <x v="9"/>
    <x v="1"/>
    <x v="19"/>
    <x v="11"/>
    <n v="14"/>
    <n v="8.5"/>
    <n v="884934"/>
    <n v="94"/>
    <n v="4.599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1515C7-F46E-4AD1-9258-F7742D79C829}"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L25" firstHeaderRow="1" firstDataRow="2" firstDataCol="1"/>
  <pivotFields count="10">
    <pivotField showAll="0"/>
    <pivotField axis="axisCol" showAll="0">
      <items count="13">
        <item x="0"/>
        <item x="1"/>
        <item x="2"/>
        <item x="3"/>
        <item x="4"/>
        <item x="5"/>
        <item x="6"/>
        <item x="7"/>
        <item x="8"/>
        <item x="9"/>
        <item x="10"/>
        <item x="11"/>
        <item t="default"/>
      </items>
    </pivotField>
    <pivotField showAll="0">
      <items count="3">
        <item h="1" x="0"/>
        <item x="1"/>
        <item t="default"/>
      </items>
    </pivotField>
    <pivotField axis="axisRow" showAll="0">
      <items count="21">
        <item x="11"/>
        <item x="13"/>
        <item x="0"/>
        <item x="2"/>
        <item x="5"/>
        <item x="14"/>
        <item x="19"/>
        <item x="15"/>
        <item x="1"/>
        <item x="17"/>
        <item x="7"/>
        <item x="3"/>
        <item x="4"/>
        <item x="6"/>
        <item x="10"/>
        <item x="12"/>
        <item x="16"/>
        <item x="9"/>
        <item x="18"/>
        <item x="8"/>
        <item t="default"/>
      </items>
    </pivotField>
    <pivotField showAll="0">
      <items count="13">
        <item x="11"/>
        <item x="8"/>
        <item x="1"/>
        <item x="0"/>
        <item x="7"/>
        <item x="2"/>
        <item x="3"/>
        <item x="6"/>
        <item x="9"/>
        <item x="5"/>
        <item x="10"/>
        <item x="4"/>
        <item t="default"/>
      </items>
    </pivotField>
    <pivotField dataField="1" showAll="0"/>
    <pivotField showAll="0"/>
    <pivotField showAll="0"/>
    <pivotField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1"/>
  </colFields>
  <colItems count="11">
    <i>
      <x/>
    </i>
    <i>
      <x v="1"/>
    </i>
    <i>
      <x v="2"/>
    </i>
    <i>
      <x v="3"/>
    </i>
    <i>
      <x v="4"/>
    </i>
    <i>
      <x v="5"/>
    </i>
    <i>
      <x v="6"/>
    </i>
    <i>
      <x v="7"/>
    </i>
    <i>
      <x v="8"/>
    </i>
    <i>
      <x v="9"/>
    </i>
    <i t="grand">
      <x/>
    </i>
  </colItems>
  <dataFields count="1">
    <dataField name="Sum of Active Users (Millions)" fld="5" baseField="3" baseItem="4"/>
  </dataFields>
  <chartFormats count="2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10" format="24" series="1">
      <pivotArea type="data" outline="0" fieldPosition="0">
        <references count="2">
          <reference field="4294967294" count="1" selected="0">
            <x v="0"/>
          </reference>
          <reference field="1" count="1" selected="0">
            <x v="0"/>
          </reference>
        </references>
      </pivotArea>
    </chartFormat>
    <chartFormat chart="10" format="25" series="1">
      <pivotArea type="data" outline="0" fieldPosition="0">
        <references count="2">
          <reference field="4294967294" count="1" selected="0">
            <x v="0"/>
          </reference>
          <reference field="1" count="1" selected="0">
            <x v="1"/>
          </reference>
        </references>
      </pivotArea>
    </chartFormat>
    <chartFormat chart="10" format="26" series="1">
      <pivotArea type="data" outline="0" fieldPosition="0">
        <references count="2">
          <reference field="4294967294" count="1" selected="0">
            <x v="0"/>
          </reference>
          <reference field="1" count="1" selected="0">
            <x v="2"/>
          </reference>
        </references>
      </pivotArea>
    </chartFormat>
    <chartFormat chart="10" format="27" series="1">
      <pivotArea type="data" outline="0" fieldPosition="0">
        <references count="2">
          <reference field="4294967294" count="1" selected="0">
            <x v="0"/>
          </reference>
          <reference field="1" count="1" selected="0">
            <x v="3"/>
          </reference>
        </references>
      </pivotArea>
    </chartFormat>
    <chartFormat chart="10" format="28" series="1">
      <pivotArea type="data" outline="0" fieldPosition="0">
        <references count="2">
          <reference field="4294967294" count="1" selected="0">
            <x v="0"/>
          </reference>
          <reference field="1" count="1" selected="0">
            <x v="4"/>
          </reference>
        </references>
      </pivotArea>
    </chartFormat>
    <chartFormat chart="10" format="29" series="1">
      <pivotArea type="data" outline="0" fieldPosition="0">
        <references count="2">
          <reference field="4294967294" count="1" selected="0">
            <x v="0"/>
          </reference>
          <reference field="1" count="1" selected="0">
            <x v="5"/>
          </reference>
        </references>
      </pivotArea>
    </chartFormat>
    <chartFormat chart="10" format="30" series="1">
      <pivotArea type="data" outline="0" fieldPosition="0">
        <references count="2">
          <reference field="4294967294" count="1" selected="0">
            <x v="0"/>
          </reference>
          <reference field="1" count="1" selected="0">
            <x v="6"/>
          </reference>
        </references>
      </pivotArea>
    </chartFormat>
    <chartFormat chart="10" format="31" series="1">
      <pivotArea type="data" outline="0" fieldPosition="0">
        <references count="2">
          <reference field="4294967294" count="1" selected="0">
            <x v="0"/>
          </reference>
          <reference field="1" count="1" selected="0">
            <x v="7"/>
          </reference>
        </references>
      </pivotArea>
    </chartFormat>
    <chartFormat chart="10" format="32" series="1">
      <pivotArea type="data" outline="0" fieldPosition="0">
        <references count="2">
          <reference field="4294967294" count="1" selected="0">
            <x v="0"/>
          </reference>
          <reference field="1" count="1" selected="0">
            <x v="8"/>
          </reference>
        </references>
      </pivotArea>
    </chartFormat>
    <chartFormat chart="10" format="33" series="1">
      <pivotArea type="data" outline="0" fieldPosition="0">
        <references count="2">
          <reference field="4294967294" count="1" selected="0">
            <x v="0"/>
          </reference>
          <reference field="1" count="1" selected="0">
            <x v="9"/>
          </reference>
        </references>
      </pivotArea>
    </chartFormat>
    <chartFormat chart="10" format="34" series="1">
      <pivotArea type="data" outline="0" fieldPosition="0">
        <references count="2">
          <reference field="4294967294" count="1" selected="0">
            <x v="0"/>
          </reference>
          <reference field="1" count="1" selected="0">
            <x v="10"/>
          </reference>
        </references>
      </pivotArea>
    </chartFormat>
    <chartFormat chart="10" format="35" series="1">
      <pivotArea type="data" outline="0" fieldPosition="0">
        <references count="2">
          <reference field="4294967294" count="1" selected="0">
            <x v="0"/>
          </reference>
          <reference field="1" count="1" selected="0">
            <x v="11"/>
          </reference>
        </references>
      </pivotArea>
    </chartFormat>
    <chartFormat chart="10"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54F3D1-923C-4634-AFFF-A0A23CD62C70}"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V10" firstHeaderRow="1" firstDataRow="2" firstDataCol="1"/>
  <pivotFields count="10">
    <pivotField showAll="0"/>
    <pivotField axis="axisRow" showAll="0" measureFilter="1">
      <items count="13">
        <item x="0"/>
        <item x="1"/>
        <item x="2"/>
        <item x="3"/>
        <item x="4"/>
        <item x="5"/>
        <item x="6"/>
        <item x="7"/>
        <item x="8"/>
        <item x="9"/>
        <item x="10"/>
        <item x="11"/>
        <item t="default"/>
      </items>
    </pivotField>
    <pivotField showAll="0">
      <items count="3">
        <item h="1" x="0"/>
        <item x="1"/>
        <item t="default"/>
      </items>
    </pivotField>
    <pivotField axis="axisCol" showAll="0">
      <items count="21">
        <item x="11"/>
        <item x="13"/>
        <item x="0"/>
        <item x="2"/>
        <item x="5"/>
        <item x="14"/>
        <item x="19"/>
        <item x="15"/>
        <item x="1"/>
        <item x="17"/>
        <item x="7"/>
        <item x="3"/>
        <item x="4"/>
        <item x="6"/>
        <item x="10"/>
        <item x="12"/>
        <item x="16"/>
        <item x="9"/>
        <item x="18"/>
        <item x="8"/>
        <item t="default"/>
      </items>
    </pivotField>
    <pivotField showAll="0">
      <items count="13">
        <item x="11"/>
        <item x="8"/>
        <item x="1"/>
        <item x="0"/>
        <item x="7"/>
        <item x="2"/>
        <item x="3"/>
        <item x="6"/>
        <item x="9"/>
        <item x="5"/>
        <item x="10"/>
        <item x="4"/>
        <item t="default"/>
      </items>
    </pivotField>
    <pivotField showAll="0"/>
    <pivotField dataField="1" showAll="0"/>
    <pivotField showAll="0"/>
    <pivotField showAll="0"/>
    <pivotField showAll="0"/>
  </pivotFields>
  <rowFields count="1">
    <field x="1"/>
  </rowFields>
  <rowItems count="6">
    <i>
      <x/>
    </i>
    <i>
      <x v="2"/>
    </i>
    <i>
      <x v="4"/>
    </i>
    <i>
      <x v="7"/>
    </i>
    <i>
      <x v="9"/>
    </i>
    <i t="grand">
      <x/>
    </i>
  </rowItems>
  <colFields count="1">
    <field x="3"/>
  </colFields>
  <colItems count="21">
    <i>
      <x/>
    </i>
    <i>
      <x v="1"/>
    </i>
    <i>
      <x v="2"/>
    </i>
    <i>
      <x v="3"/>
    </i>
    <i>
      <x v="4"/>
    </i>
    <i>
      <x v="5"/>
    </i>
    <i>
      <x v="6"/>
    </i>
    <i>
      <x v="7"/>
    </i>
    <i>
      <x v="8"/>
    </i>
    <i>
      <x v="9"/>
    </i>
    <i>
      <x v="10"/>
    </i>
    <i>
      <x v="11"/>
    </i>
    <i>
      <x v="12"/>
    </i>
    <i>
      <x v="13"/>
    </i>
    <i>
      <x v="14"/>
    </i>
    <i>
      <x v="15"/>
    </i>
    <i>
      <x v="16"/>
    </i>
    <i>
      <x v="17"/>
    </i>
    <i>
      <x v="18"/>
    </i>
    <i>
      <x v="19"/>
    </i>
    <i t="grand">
      <x/>
    </i>
  </colItems>
  <dataFields count="1">
    <dataField name="Sum of Growth %" fld="6" baseField="0" baseItem="0"/>
  </dataField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2">
          <reference field="4294967294" count="1" selected="0">
            <x v="0"/>
          </reference>
          <reference field="3" count="1" selected="0">
            <x v="12"/>
          </reference>
        </references>
      </pivotArea>
    </chartFormat>
    <chartFormat chart="0" format="13" series="1">
      <pivotArea type="data" outline="0" fieldPosition="0">
        <references count="2">
          <reference field="4294967294" count="1" selected="0">
            <x v="0"/>
          </reference>
          <reference field="3" count="1" selected="0">
            <x v="13"/>
          </reference>
        </references>
      </pivotArea>
    </chartFormat>
    <chartFormat chart="0" format="14" series="1">
      <pivotArea type="data" outline="0" fieldPosition="0">
        <references count="2">
          <reference field="4294967294" count="1" selected="0">
            <x v="0"/>
          </reference>
          <reference field="3" count="1" selected="0">
            <x v="14"/>
          </reference>
        </references>
      </pivotArea>
    </chartFormat>
    <chartFormat chart="0" format="15" series="1">
      <pivotArea type="data" outline="0" fieldPosition="0">
        <references count="2">
          <reference field="4294967294" count="1" selected="0">
            <x v="0"/>
          </reference>
          <reference field="3" count="1" selected="0">
            <x v="15"/>
          </reference>
        </references>
      </pivotArea>
    </chartFormat>
    <chartFormat chart="0" format="16" series="1">
      <pivotArea type="data" outline="0" fieldPosition="0">
        <references count="2">
          <reference field="4294967294" count="1" selected="0">
            <x v="0"/>
          </reference>
          <reference field="3" count="1" selected="0">
            <x v="16"/>
          </reference>
        </references>
      </pivotArea>
    </chartFormat>
    <chartFormat chart="0" format="17" series="1">
      <pivotArea type="data" outline="0" fieldPosition="0">
        <references count="2">
          <reference field="4294967294" count="1" selected="0">
            <x v="0"/>
          </reference>
          <reference field="3" count="1" selected="0">
            <x v="17"/>
          </reference>
        </references>
      </pivotArea>
    </chartFormat>
    <chartFormat chart="0" format="18" series="1">
      <pivotArea type="data" outline="0" fieldPosition="0">
        <references count="2">
          <reference field="4294967294" count="1" selected="0">
            <x v="0"/>
          </reference>
          <reference field="3" count="1" selected="0">
            <x v="18"/>
          </reference>
        </references>
      </pivotArea>
    </chartFormat>
    <chartFormat chart="0" format="19" series="1">
      <pivotArea type="data" outline="0" fieldPosition="0">
        <references count="2">
          <reference field="4294967294" count="1" selected="0">
            <x v="0"/>
          </reference>
          <reference field="3" count="1" selected="0">
            <x v="19"/>
          </reference>
        </references>
      </pivotArea>
    </chartFormat>
    <chartFormat chart="10" format="25" series="1">
      <pivotArea type="data" outline="0" fieldPosition="0">
        <references count="2">
          <reference field="4294967294" count="1" selected="0">
            <x v="0"/>
          </reference>
          <reference field="3" count="1" selected="0">
            <x v="3"/>
          </reference>
        </references>
      </pivotArea>
    </chartFormat>
    <chartFormat chart="10" format="26" series="1">
      <pivotArea type="data" outline="0" fieldPosition="0">
        <references count="2">
          <reference field="4294967294" count="1" selected="0">
            <x v="0"/>
          </reference>
          <reference field="3" count="1" selected="0">
            <x v="5"/>
          </reference>
        </references>
      </pivotArea>
    </chartFormat>
    <chartFormat chart="10" format="27" series="1">
      <pivotArea type="data" outline="0" fieldPosition="0">
        <references count="2">
          <reference field="4294967294" count="1" selected="0">
            <x v="0"/>
          </reference>
          <reference field="3" count="1" selected="0">
            <x v="6"/>
          </reference>
        </references>
      </pivotArea>
    </chartFormat>
    <chartFormat chart="10" format="28" series="1">
      <pivotArea type="data" outline="0" fieldPosition="0">
        <references count="2">
          <reference field="4294967294" count="1" selected="0">
            <x v="0"/>
          </reference>
          <reference field="3" count="1" selected="0">
            <x v="11"/>
          </reference>
        </references>
      </pivotArea>
    </chartFormat>
    <chartFormat chart="10" format="29" series="1">
      <pivotArea type="data" outline="0" fieldPosition="0">
        <references count="2">
          <reference field="4294967294" count="1" selected="0">
            <x v="0"/>
          </reference>
          <reference field="3" count="1" selected="0">
            <x v="12"/>
          </reference>
        </references>
      </pivotArea>
    </chartFormat>
    <chartFormat chart="10" format="30" series="1">
      <pivotArea type="data" outline="0" fieldPosition="0">
        <references count="2">
          <reference field="4294967294" count="1" selected="0">
            <x v="0"/>
          </reference>
          <reference field="3" count="1" selected="0">
            <x v="0"/>
          </reference>
        </references>
      </pivotArea>
    </chartFormat>
    <chartFormat chart="10" format="31" series="1">
      <pivotArea type="data" outline="0" fieldPosition="0">
        <references count="2">
          <reference field="4294967294" count="1" selected="0">
            <x v="0"/>
          </reference>
          <reference field="3" count="1" selected="0">
            <x v="2"/>
          </reference>
        </references>
      </pivotArea>
    </chartFormat>
    <chartFormat chart="10" format="32" series="1">
      <pivotArea type="data" outline="0" fieldPosition="0">
        <references count="2">
          <reference field="4294967294" count="1" selected="0">
            <x v="0"/>
          </reference>
          <reference field="3" count="1" selected="0">
            <x v="15"/>
          </reference>
        </references>
      </pivotArea>
    </chartFormat>
    <chartFormat chart="10" format="33" series="1">
      <pivotArea type="data" outline="0" fieldPosition="0">
        <references count="2">
          <reference field="4294967294" count="1" selected="0">
            <x v="0"/>
          </reference>
          <reference field="3" count="1" selected="0">
            <x v="10"/>
          </reference>
        </references>
      </pivotArea>
    </chartFormat>
    <chartFormat chart="10" format="34" series="1">
      <pivotArea type="data" outline="0" fieldPosition="0">
        <references count="2">
          <reference field="4294967294" count="1" selected="0">
            <x v="0"/>
          </reference>
          <reference field="3" count="1" selected="0">
            <x v="17"/>
          </reference>
        </references>
      </pivotArea>
    </chartFormat>
    <chartFormat chart="10" format="35" series="1">
      <pivotArea type="data" outline="0" fieldPosition="0">
        <references count="2">
          <reference field="4294967294" count="1" selected="0">
            <x v="0"/>
          </reference>
          <reference field="3" count="1" selected="0">
            <x v="18"/>
          </reference>
        </references>
      </pivotArea>
    </chartFormat>
    <chartFormat chart="10" format="36" series="1">
      <pivotArea type="data" outline="0" fieldPosition="0">
        <references count="2">
          <reference field="4294967294" count="1" selected="0">
            <x v="0"/>
          </reference>
          <reference field="3" count="1" selected="0">
            <x v="19"/>
          </reference>
        </references>
      </pivotArea>
    </chartFormat>
    <chartFormat chart="10" format="37" series="1">
      <pivotArea type="data" outline="0" fieldPosition="0">
        <references count="2">
          <reference field="4294967294" count="1" selected="0">
            <x v="0"/>
          </reference>
          <reference field="3" count="1" selected="0">
            <x v="4"/>
          </reference>
        </references>
      </pivotArea>
    </chartFormat>
    <chartFormat chart="10" format="38" series="1">
      <pivotArea type="data" outline="0" fieldPosition="0">
        <references count="1">
          <reference field="4294967294" count="1" selected="0">
            <x v="0"/>
          </reference>
        </references>
      </pivotArea>
    </chartFormat>
    <chartFormat chart="10" format="39" series="1">
      <pivotArea type="data" outline="0" fieldPosition="0">
        <references count="2">
          <reference field="4294967294" count="1" selected="0">
            <x v="0"/>
          </reference>
          <reference field="3" count="1" selected="0">
            <x v="1"/>
          </reference>
        </references>
      </pivotArea>
    </chartFormat>
    <chartFormat chart="10" format="40" series="1">
      <pivotArea type="data" outline="0" fieldPosition="0">
        <references count="2">
          <reference field="4294967294" count="1" selected="0">
            <x v="0"/>
          </reference>
          <reference field="3" count="1" selected="0">
            <x v="7"/>
          </reference>
        </references>
      </pivotArea>
    </chartFormat>
    <chartFormat chart="10" format="41" series="1">
      <pivotArea type="data" outline="0" fieldPosition="0">
        <references count="2">
          <reference field="4294967294" count="1" selected="0">
            <x v="0"/>
          </reference>
          <reference field="3" count="1" selected="0">
            <x v="8"/>
          </reference>
        </references>
      </pivotArea>
    </chartFormat>
    <chartFormat chart="10" format="42" series="1">
      <pivotArea type="data" outline="0" fieldPosition="0">
        <references count="2">
          <reference field="4294967294" count="1" selected="0">
            <x v="0"/>
          </reference>
          <reference field="3" count="1" selected="0">
            <x v="9"/>
          </reference>
        </references>
      </pivotArea>
    </chartFormat>
    <chartFormat chart="10" format="43" series="1">
      <pivotArea type="data" outline="0" fieldPosition="0">
        <references count="2">
          <reference field="4294967294" count="1" selected="0">
            <x v="0"/>
          </reference>
          <reference field="3" count="1" selected="0">
            <x v="13"/>
          </reference>
        </references>
      </pivotArea>
    </chartFormat>
    <chartFormat chart="10" format="44" series="1">
      <pivotArea type="data" outline="0" fieldPosition="0">
        <references count="2">
          <reference field="4294967294" count="1" selected="0">
            <x v="0"/>
          </reference>
          <reference field="3" count="1" selected="0">
            <x v="14"/>
          </reference>
        </references>
      </pivotArea>
    </chartFormat>
    <chartFormat chart="10" format="45" series="1">
      <pivotArea type="data" outline="0" fieldPosition="0">
        <references count="2">
          <reference field="4294967294" count="1" selected="0">
            <x v="0"/>
          </reference>
          <reference field="3" count="1" selected="0">
            <x v="16"/>
          </reference>
        </references>
      </pivotArea>
    </chartFormat>
    <chartFormat chart="0" format="20"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FF1B41-6AB3-486D-8C49-D77D837C2C4E}"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0">
    <pivotField showAll="0"/>
    <pivotField showAll="0">
      <items count="13">
        <item x="0"/>
        <item x="1"/>
        <item x="2"/>
        <item x="3"/>
        <item x="4"/>
        <item x="5"/>
        <item x="6"/>
        <item x="7"/>
        <item x="8"/>
        <item x="9"/>
        <item x="10"/>
        <item x="11"/>
        <item t="default"/>
      </items>
    </pivotField>
    <pivotField showAll="0">
      <items count="3">
        <item h="1" x="0"/>
        <item x="1"/>
        <item t="default"/>
      </items>
    </pivotField>
    <pivotField showAll="0">
      <items count="21">
        <item x="11"/>
        <item x="13"/>
        <item x="0"/>
        <item x="2"/>
        <item x="5"/>
        <item x="14"/>
        <item x="19"/>
        <item x="15"/>
        <item x="1"/>
        <item x="17"/>
        <item x="7"/>
        <item x="3"/>
        <item x="4"/>
        <item x="6"/>
        <item x="10"/>
        <item x="12"/>
        <item x="16"/>
        <item x="9"/>
        <item x="18"/>
        <item x="8"/>
        <item t="default"/>
      </items>
    </pivotField>
    <pivotField axis="axisRow" showAll="0">
      <items count="13">
        <item x="11"/>
        <item x="8"/>
        <item x="1"/>
        <item x="0"/>
        <item x="7"/>
        <item x="2"/>
        <item x="3"/>
        <item x="6"/>
        <item x="9"/>
        <item x="5"/>
        <item x="10"/>
        <item x="4"/>
        <item t="default"/>
      </items>
    </pivotField>
    <pivotField dataField="1"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Active Users (Millions)" fld="5" baseField="0" baseItem="0"/>
  </dataField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0" format="9">
      <pivotArea type="data" outline="0" fieldPosition="0">
        <references count="2">
          <reference field="4294967294" count="1" selected="0">
            <x v="0"/>
          </reference>
          <reference field="4" count="1" selected="0">
            <x v="8"/>
          </reference>
        </references>
      </pivotArea>
    </chartFormat>
    <chartFormat chart="0" format="10">
      <pivotArea type="data" outline="0" fieldPosition="0">
        <references count="2">
          <reference field="4294967294" count="1" selected="0">
            <x v="0"/>
          </reference>
          <reference field="4" count="1" selected="0">
            <x v="9"/>
          </reference>
        </references>
      </pivotArea>
    </chartFormat>
    <chartFormat chart="0" format="11">
      <pivotArea type="data" outline="0" fieldPosition="0">
        <references count="2">
          <reference field="4294967294" count="1" selected="0">
            <x v="0"/>
          </reference>
          <reference field="4" count="1" selected="0">
            <x v="10"/>
          </reference>
        </references>
      </pivotArea>
    </chartFormat>
    <chartFormat chart="0" format="12">
      <pivotArea type="data" outline="0" fieldPosition="0">
        <references count="2">
          <reference field="4294967294" count="1" selected="0">
            <x v="0"/>
          </reference>
          <reference field="4" count="1" selected="0">
            <x v="11"/>
          </reference>
        </references>
      </pivotArea>
    </chartFormat>
    <chartFormat chart="10" format="26" series="1">
      <pivotArea type="data" outline="0" fieldPosition="0">
        <references count="1">
          <reference field="4294967294" count="1" selected="0">
            <x v="0"/>
          </reference>
        </references>
      </pivotArea>
    </chartFormat>
    <chartFormat chart="10" format="27">
      <pivotArea type="data" outline="0" fieldPosition="0">
        <references count="2">
          <reference field="4294967294" count="1" selected="0">
            <x v="0"/>
          </reference>
          <reference field="4" count="1" selected="0">
            <x v="0"/>
          </reference>
        </references>
      </pivotArea>
    </chartFormat>
    <chartFormat chart="10" format="28">
      <pivotArea type="data" outline="0" fieldPosition="0">
        <references count="2">
          <reference field="4294967294" count="1" selected="0">
            <x v="0"/>
          </reference>
          <reference field="4" count="1" selected="0">
            <x v="1"/>
          </reference>
        </references>
      </pivotArea>
    </chartFormat>
    <chartFormat chart="10" format="29">
      <pivotArea type="data" outline="0" fieldPosition="0">
        <references count="2">
          <reference field="4294967294" count="1" selected="0">
            <x v="0"/>
          </reference>
          <reference field="4" count="1" selected="0">
            <x v="2"/>
          </reference>
        </references>
      </pivotArea>
    </chartFormat>
    <chartFormat chart="10" format="30">
      <pivotArea type="data" outline="0" fieldPosition="0">
        <references count="2">
          <reference field="4294967294" count="1" selected="0">
            <x v="0"/>
          </reference>
          <reference field="4" count="1" selected="0">
            <x v="3"/>
          </reference>
        </references>
      </pivotArea>
    </chartFormat>
    <chartFormat chart="10" format="31">
      <pivotArea type="data" outline="0" fieldPosition="0">
        <references count="2">
          <reference field="4294967294" count="1" selected="0">
            <x v="0"/>
          </reference>
          <reference field="4" count="1" selected="0">
            <x v="4"/>
          </reference>
        </references>
      </pivotArea>
    </chartFormat>
    <chartFormat chart="10" format="32">
      <pivotArea type="data" outline="0" fieldPosition="0">
        <references count="2">
          <reference field="4294967294" count="1" selected="0">
            <x v="0"/>
          </reference>
          <reference field="4" count="1" selected="0">
            <x v="5"/>
          </reference>
        </references>
      </pivotArea>
    </chartFormat>
    <chartFormat chart="10" format="33">
      <pivotArea type="data" outline="0" fieldPosition="0">
        <references count="2">
          <reference field="4294967294" count="1" selected="0">
            <x v="0"/>
          </reference>
          <reference field="4" count="1" selected="0">
            <x v="6"/>
          </reference>
        </references>
      </pivotArea>
    </chartFormat>
    <chartFormat chart="10" format="34">
      <pivotArea type="data" outline="0" fieldPosition="0">
        <references count="2">
          <reference field="4294967294" count="1" selected="0">
            <x v="0"/>
          </reference>
          <reference field="4" count="1" selected="0">
            <x v="7"/>
          </reference>
        </references>
      </pivotArea>
    </chartFormat>
    <chartFormat chart="10" format="35">
      <pivotArea type="data" outline="0" fieldPosition="0">
        <references count="2">
          <reference field="4294967294" count="1" selected="0">
            <x v="0"/>
          </reference>
          <reference field="4" count="1" selected="0">
            <x v="8"/>
          </reference>
        </references>
      </pivotArea>
    </chartFormat>
    <chartFormat chart="10" format="36">
      <pivotArea type="data" outline="0" fieldPosition="0">
        <references count="2">
          <reference field="4294967294" count="1" selected="0">
            <x v="0"/>
          </reference>
          <reference field="4" count="1" selected="0">
            <x v="9"/>
          </reference>
        </references>
      </pivotArea>
    </chartFormat>
    <chartFormat chart="10" format="37">
      <pivotArea type="data" outline="0" fieldPosition="0">
        <references count="2">
          <reference field="4294967294" count="1" selected="0">
            <x v="0"/>
          </reference>
          <reference field="4" count="1" selected="0">
            <x v="10"/>
          </reference>
        </references>
      </pivotArea>
    </chartFormat>
    <chartFormat chart="10" format="38">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592060-E66C-4E4A-A4CA-05B66DECDAA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A3:W26" firstHeaderRow="1" firstDataRow="3" firstDataCol="1"/>
  <pivotFields count="10">
    <pivotField showAll="0"/>
    <pivotField axis="axisCol" showAll="0">
      <items count="13">
        <item x="0"/>
        <item x="1"/>
        <item x="2"/>
        <item x="3"/>
        <item x="4"/>
        <item x="5"/>
        <item x="6"/>
        <item x="7"/>
        <item x="8"/>
        <item x="9"/>
        <item x="10"/>
        <item x="11"/>
        <item t="default"/>
      </items>
    </pivotField>
    <pivotField showAll="0">
      <items count="3">
        <item h="1" x="0"/>
        <item x="1"/>
        <item t="default"/>
      </items>
    </pivotField>
    <pivotField axis="axisRow" showAll="0">
      <items count="21">
        <item x="11"/>
        <item x="13"/>
        <item x="0"/>
        <item x="2"/>
        <item x="5"/>
        <item x="14"/>
        <item x="19"/>
        <item x="15"/>
        <item x="1"/>
        <item x="17"/>
        <item x="7"/>
        <item x="3"/>
        <item x="4"/>
        <item x="6"/>
        <item x="10"/>
        <item x="12"/>
        <item x="16"/>
        <item x="9"/>
        <item x="18"/>
        <item x="8"/>
        <item t="default"/>
      </items>
    </pivotField>
    <pivotField showAll="0">
      <items count="13">
        <item x="11"/>
        <item x="8"/>
        <item x="1"/>
        <item x="0"/>
        <item x="7"/>
        <item x="2"/>
        <item x="3"/>
        <item x="6"/>
        <item x="9"/>
        <item x="5"/>
        <item x="10"/>
        <item x="4"/>
        <item t="default"/>
      </items>
    </pivotField>
    <pivotField showAll="0"/>
    <pivotField showAll="0"/>
    <pivotField dataField="1" showAll="0"/>
    <pivotField dataField="1"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2">
    <field x="1"/>
    <field x="-2"/>
  </colFields>
  <colItems count="22">
    <i>
      <x/>
      <x/>
    </i>
    <i r="1" i="1">
      <x v="1"/>
    </i>
    <i>
      <x v="1"/>
      <x/>
    </i>
    <i r="1" i="1">
      <x v="1"/>
    </i>
    <i>
      <x v="2"/>
      <x/>
    </i>
    <i r="1" i="1">
      <x v="1"/>
    </i>
    <i>
      <x v="3"/>
      <x/>
    </i>
    <i r="1" i="1">
      <x v="1"/>
    </i>
    <i>
      <x v="4"/>
      <x/>
    </i>
    <i r="1" i="1">
      <x v="1"/>
    </i>
    <i>
      <x v="5"/>
      <x/>
    </i>
    <i r="1" i="1">
      <x v="1"/>
    </i>
    <i>
      <x v="6"/>
      <x/>
    </i>
    <i r="1" i="1">
      <x v="1"/>
    </i>
    <i>
      <x v="7"/>
      <x/>
    </i>
    <i r="1" i="1">
      <x v="1"/>
    </i>
    <i>
      <x v="8"/>
      <x/>
    </i>
    <i r="1" i="1">
      <x v="1"/>
    </i>
    <i>
      <x v="9"/>
      <x/>
    </i>
    <i r="1" i="1">
      <x v="1"/>
    </i>
    <i t="grand">
      <x/>
    </i>
    <i t="grand" i="1">
      <x/>
    </i>
  </colItems>
  <dataFields count="2">
    <dataField name="Sum of Social Mentions" fld="7" baseField="1" baseItem="9"/>
    <dataField name="Sum of Website Visits (Millions)" fld="8" baseField="3" baseItem="5"/>
  </dataFields>
  <chartFormats count="202">
    <chartFormat chart="0" format="197" series="1">
      <pivotArea type="data" outline="0" fieldPosition="0">
        <references count="1">
          <reference field="3" count="1" selected="0">
            <x v="10"/>
          </reference>
        </references>
      </pivotArea>
    </chartFormat>
    <chartFormat chart="0" format="198" series="1">
      <pivotArea type="data" outline="0" fieldPosition="0">
        <references count="1">
          <reference field="3" count="1" selected="0">
            <x v="11"/>
          </reference>
        </references>
      </pivotArea>
    </chartFormat>
    <chartFormat chart="0" format="199" series="1">
      <pivotArea type="data" outline="0" fieldPosition="0">
        <references count="1">
          <reference field="3" count="1" selected="0">
            <x v="12"/>
          </reference>
        </references>
      </pivotArea>
    </chartFormat>
    <chartFormat chart="0" format="200" series="1">
      <pivotArea type="data" outline="0" fieldPosition="0">
        <references count="1">
          <reference field="3" count="1" selected="0">
            <x v="13"/>
          </reference>
        </references>
      </pivotArea>
    </chartFormat>
    <chartFormat chart="0" format="201" series="1">
      <pivotArea type="data" outline="0" fieldPosition="0">
        <references count="1">
          <reference field="3" count="1" selected="0">
            <x v="14"/>
          </reference>
        </references>
      </pivotArea>
    </chartFormat>
    <chartFormat chart="0" format="202" series="1">
      <pivotArea type="data" outline="0" fieldPosition="0">
        <references count="1">
          <reference field="3" count="1" selected="0">
            <x v="15"/>
          </reference>
        </references>
      </pivotArea>
    </chartFormat>
    <chartFormat chart="0" format="203" series="1">
      <pivotArea type="data" outline="0" fieldPosition="0">
        <references count="1">
          <reference field="3" count="1" selected="0">
            <x v="16"/>
          </reference>
        </references>
      </pivotArea>
    </chartFormat>
    <chartFormat chart="0" format="204" series="1">
      <pivotArea type="data" outline="0" fieldPosition="0">
        <references count="1">
          <reference field="3" count="1" selected="0">
            <x v="17"/>
          </reference>
        </references>
      </pivotArea>
    </chartFormat>
    <chartFormat chart="0" format="205" series="1">
      <pivotArea type="data" outline="0" fieldPosition="0">
        <references count="1">
          <reference field="3" count="1" selected="0">
            <x v="18"/>
          </reference>
        </references>
      </pivotArea>
    </chartFormat>
    <chartFormat chart="0" format="206" series="1">
      <pivotArea type="data" outline="0" fieldPosition="0">
        <references count="1">
          <reference field="3" count="1" selected="0">
            <x v="19"/>
          </reference>
        </references>
      </pivotArea>
    </chartFormat>
    <chartFormat chart="0" format="207" series="1">
      <pivotArea type="data" outline="0" fieldPosition="0">
        <references count="1">
          <reference field="3" count="1" selected="0">
            <x v="0"/>
          </reference>
        </references>
      </pivotArea>
    </chartFormat>
    <chartFormat chart="0" format="208" series="1">
      <pivotArea type="data" outline="0" fieldPosition="0">
        <references count="1">
          <reference field="3" count="1" selected="0">
            <x v="1"/>
          </reference>
        </references>
      </pivotArea>
    </chartFormat>
    <chartFormat chart="0" format="209" series="1">
      <pivotArea type="data" outline="0" fieldPosition="0">
        <references count="1">
          <reference field="3" count="1" selected="0">
            <x v="2"/>
          </reference>
        </references>
      </pivotArea>
    </chartFormat>
    <chartFormat chart="0" format="210" series="1">
      <pivotArea type="data" outline="0" fieldPosition="0">
        <references count="1">
          <reference field="3" count="1" selected="0">
            <x v="3"/>
          </reference>
        </references>
      </pivotArea>
    </chartFormat>
    <chartFormat chart="0" format="211" series="1">
      <pivotArea type="data" outline="0" fieldPosition="0">
        <references count="1">
          <reference field="3" count="1" selected="0">
            <x v="4"/>
          </reference>
        </references>
      </pivotArea>
    </chartFormat>
    <chartFormat chart="0" format="212" series="1">
      <pivotArea type="data" outline="0" fieldPosition="0">
        <references count="1">
          <reference field="3" count="1" selected="0">
            <x v="5"/>
          </reference>
        </references>
      </pivotArea>
    </chartFormat>
    <chartFormat chart="0" format="213" series="1">
      <pivotArea type="data" outline="0" fieldPosition="0">
        <references count="1">
          <reference field="3" count="1" selected="0">
            <x v="6"/>
          </reference>
        </references>
      </pivotArea>
    </chartFormat>
    <chartFormat chart="0" format="214" series="1">
      <pivotArea type="data" outline="0" fieldPosition="0">
        <references count="1">
          <reference field="3" count="1" selected="0">
            <x v="7"/>
          </reference>
        </references>
      </pivotArea>
    </chartFormat>
    <chartFormat chart="0" format="215" series="1">
      <pivotArea type="data" outline="0" fieldPosition="0">
        <references count="1">
          <reference field="3" count="1" selected="0">
            <x v="8"/>
          </reference>
        </references>
      </pivotArea>
    </chartFormat>
    <chartFormat chart="0" format="216" series="1">
      <pivotArea type="data" outline="0" fieldPosition="0">
        <references count="1">
          <reference field="3" count="1" selected="0">
            <x v="9"/>
          </reference>
        </references>
      </pivotArea>
    </chartFormat>
    <chartFormat chart="0" format="217" series="1">
      <pivotArea type="data" outline="0" fieldPosition="0">
        <references count="2">
          <reference field="4294967294" count="1" selected="0">
            <x v="1"/>
          </reference>
          <reference field="3" count="1" selected="0">
            <x v="10"/>
          </reference>
        </references>
      </pivotArea>
    </chartFormat>
    <chartFormat chart="0" format="218" series="1">
      <pivotArea type="data" outline="0" fieldPosition="0">
        <references count="2">
          <reference field="4294967294" count="1" selected="0">
            <x v="0"/>
          </reference>
          <reference field="3" count="1" selected="0">
            <x v="10"/>
          </reference>
        </references>
      </pivotArea>
    </chartFormat>
    <chartFormat chart="0" format="219" series="1">
      <pivotArea type="data" outline="0" fieldPosition="0">
        <references count="2">
          <reference field="4294967294" count="1" selected="0">
            <x v="1"/>
          </reference>
          <reference field="3" count="1" selected="0">
            <x v="11"/>
          </reference>
        </references>
      </pivotArea>
    </chartFormat>
    <chartFormat chart="0" format="220" series="1">
      <pivotArea type="data" outline="0" fieldPosition="0">
        <references count="2">
          <reference field="4294967294" count="1" selected="0">
            <x v="0"/>
          </reference>
          <reference field="3" count="1" selected="0">
            <x v="11"/>
          </reference>
        </references>
      </pivotArea>
    </chartFormat>
    <chartFormat chart="0" format="221" series="1">
      <pivotArea type="data" outline="0" fieldPosition="0">
        <references count="2">
          <reference field="4294967294" count="1" selected="0">
            <x v="1"/>
          </reference>
          <reference field="3" count="1" selected="0">
            <x v="12"/>
          </reference>
        </references>
      </pivotArea>
    </chartFormat>
    <chartFormat chart="0" format="222" series="1">
      <pivotArea type="data" outline="0" fieldPosition="0">
        <references count="2">
          <reference field="4294967294" count="1" selected="0">
            <x v="0"/>
          </reference>
          <reference field="3" count="1" selected="0">
            <x v="12"/>
          </reference>
        </references>
      </pivotArea>
    </chartFormat>
    <chartFormat chart="0" format="223" series="1">
      <pivotArea type="data" outline="0" fieldPosition="0">
        <references count="2">
          <reference field="4294967294" count="1" selected="0">
            <x v="1"/>
          </reference>
          <reference field="3" count="1" selected="0">
            <x v="13"/>
          </reference>
        </references>
      </pivotArea>
    </chartFormat>
    <chartFormat chart="0" format="224" series="1">
      <pivotArea type="data" outline="0" fieldPosition="0">
        <references count="2">
          <reference field="4294967294" count="1" selected="0">
            <x v="0"/>
          </reference>
          <reference field="3" count="1" selected="0">
            <x v="13"/>
          </reference>
        </references>
      </pivotArea>
    </chartFormat>
    <chartFormat chart="0" format="225" series="1">
      <pivotArea type="data" outline="0" fieldPosition="0">
        <references count="2">
          <reference field="4294967294" count="1" selected="0">
            <x v="1"/>
          </reference>
          <reference field="3" count="1" selected="0">
            <x v="14"/>
          </reference>
        </references>
      </pivotArea>
    </chartFormat>
    <chartFormat chart="0" format="226" series="1">
      <pivotArea type="data" outline="0" fieldPosition="0">
        <references count="2">
          <reference field="4294967294" count="1" selected="0">
            <x v="0"/>
          </reference>
          <reference field="3" count="1" selected="0">
            <x v="14"/>
          </reference>
        </references>
      </pivotArea>
    </chartFormat>
    <chartFormat chart="0" format="227" series="1">
      <pivotArea type="data" outline="0" fieldPosition="0">
        <references count="2">
          <reference field="4294967294" count="1" selected="0">
            <x v="1"/>
          </reference>
          <reference field="3" count="1" selected="0">
            <x v="15"/>
          </reference>
        </references>
      </pivotArea>
    </chartFormat>
    <chartFormat chart="0" format="228" series="1">
      <pivotArea type="data" outline="0" fieldPosition="0">
        <references count="2">
          <reference field="4294967294" count="1" selected="0">
            <x v="0"/>
          </reference>
          <reference field="3" count="1" selected="0">
            <x v="15"/>
          </reference>
        </references>
      </pivotArea>
    </chartFormat>
    <chartFormat chart="0" format="229" series="1">
      <pivotArea type="data" outline="0" fieldPosition="0">
        <references count="2">
          <reference field="4294967294" count="1" selected="0">
            <x v="1"/>
          </reference>
          <reference field="3" count="1" selected="0">
            <x v="16"/>
          </reference>
        </references>
      </pivotArea>
    </chartFormat>
    <chartFormat chart="0" format="230" series="1">
      <pivotArea type="data" outline="0" fieldPosition="0">
        <references count="2">
          <reference field="4294967294" count="1" selected="0">
            <x v="0"/>
          </reference>
          <reference field="3" count="1" selected="0">
            <x v="16"/>
          </reference>
        </references>
      </pivotArea>
    </chartFormat>
    <chartFormat chart="0" format="231" series="1">
      <pivotArea type="data" outline="0" fieldPosition="0">
        <references count="2">
          <reference field="4294967294" count="1" selected="0">
            <x v="1"/>
          </reference>
          <reference field="3" count="1" selected="0">
            <x v="17"/>
          </reference>
        </references>
      </pivotArea>
    </chartFormat>
    <chartFormat chart="0" format="232" series="1">
      <pivotArea type="data" outline="0" fieldPosition="0">
        <references count="2">
          <reference field="4294967294" count="1" selected="0">
            <x v="0"/>
          </reference>
          <reference field="3" count="1" selected="0">
            <x v="17"/>
          </reference>
        </references>
      </pivotArea>
    </chartFormat>
    <chartFormat chart="0" format="233" series="1">
      <pivotArea type="data" outline="0" fieldPosition="0">
        <references count="2">
          <reference field="4294967294" count="1" selected="0">
            <x v="1"/>
          </reference>
          <reference field="3" count="1" selected="0">
            <x v="18"/>
          </reference>
        </references>
      </pivotArea>
    </chartFormat>
    <chartFormat chart="0" format="234" series="1">
      <pivotArea type="data" outline="0" fieldPosition="0">
        <references count="2">
          <reference field="4294967294" count="1" selected="0">
            <x v="0"/>
          </reference>
          <reference field="3" count="1" selected="0">
            <x v="18"/>
          </reference>
        </references>
      </pivotArea>
    </chartFormat>
    <chartFormat chart="0" format="235" series="1">
      <pivotArea type="data" outline="0" fieldPosition="0">
        <references count="2">
          <reference field="4294967294" count="1" selected="0">
            <x v="1"/>
          </reference>
          <reference field="3" count="1" selected="0">
            <x v="19"/>
          </reference>
        </references>
      </pivotArea>
    </chartFormat>
    <chartFormat chart="0" format="236" series="1">
      <pivotArea type="data" outline="0" fieldPosition="0">
        <references count="2">
          <reference field="4294967294" count="1" selected="0">
            <x v="0"/>
          </reference>
          <reference field="3" count="1" selected="0">
            <x v="19"/>
          </reference>
        </references>
      </pivotArea>
    </chartFormat>
    <chartFormat chart="0" format="237" series="1">
      <pivotArea type="data" outline="0" fieldPosition="0">
        <references count="3">
          <reference field="4294967294" count="1" selected="0">
            <x v="1"/>
          </reference>
          <reference field="1" count="1" selected="0">
            <x v="1"/>
          </reference>
          <reference field="3" count="1" selected="0">
            <x v="11"/>
          </reference>
        </references>
      </pivotArea>
    </chartFormat>
    <chartFormat chart="0" format="238" series="1">
      <pivotArea type="data" outline="0" fieldPosition="0">
        <references count="3">
          <reference field="4294967294" count="1" selected="0">
            <x v="0"/>
          </reference>
          <reference field="1" count="1" selected="0">
            <x v="1"/>
          </reference>
          <reference field="3" count="1" selected="0">
            <x v="11"/>
          </reference>
        </references>
      </pivotArea>
    </chartFormat>
    <chartFormat chart="0" format="239" series="1">
      <pivotArea type="data" outline="0" fieldPosition="0">
        <references count="3">
          <reference field="4294967294" count="1" selected="0">
            <x v="1"/>
          </reference>
          <reference field="1" count="1" selected="0">
            <x v="1"/>
          </reference>
          <reference field="3" count="1" selected="0">
            <x v="12"/>
          </reference>
        </references>
      </pivotArea>
    </chartFormat>
    <chartFormat chart="0" format="240" series="1">
      <pivotArea type="data" outline="0" fieldPosition="0">
        <references count="3">
          <reference field="4294967294" count="1" selected="0">
            <x v="0"/>
          </reference>
          <reference field="1" count="1" selected="0">
            <x v="1"/>
          </reference>
          <reference field="3" count="1" selected="0">
            <x v="12"/>
          </reference>
        </references>
      </pivotArea>
    </chartFormat>
    <chartFormat chart="0" format="241" series="1">
      <pivotArea type="data" outline="0" fieldPosition="0">
        <references count="3">
          <reference field="4294967294" count="1" selected="0">
            <x v="1"/>
          </reference>
          <reference field="1" count="1" selected="0">
            <x v="1"/>
          </reference>
          <reference field="3" count="1" selected="0">
            <x v="13"/>
          </reference>
        </references>
      </pivotArea>
    </chartFormat>
    <chartFormat chart="0" format="242" series="1">
      <pivotArea type="data" outline="0" fieldPosition="0">
        <references count="3">
          <reference field="4294967294" count="1" selected="0">
            <x v="0"/>
          </reference>
          <reference field="1" count="1" selected="0">
            <x v="1"/>
          </reference>
          <reference field="3" count="1" selected="0">
            <x v="13"/>
          </reference>
        </references>
      </pivotArea>
    </chartFormat>
    <chartFormat chart="0" format="243" series="1">
      <pivotArea type="data" outline="0" fieldPosition="0">
        <references count="3">
          <reference field="4294967294" count="1" selected="0">
            <x v="1"/>
          </reference>
          <reference field="1" count="1" selected="0">
            <x v="1"/>
          </reference>
          <reference field="3" count="1" selected="0">
            <x v="17"/>
          </reference>
        </references>
      </pivotArea>
    </chartFormat>
    <chartFormat chart="0" format="244" series="1">
      <pivotArea type="data" outline="0" fieldPosition="0">
        <references count="3">
          <reference field="4294967294" count="1" selected="0">
            <x v="0"/>
          </reference>
          <reference field="1" count="1" selected="0">
            <x v="1"/>
          </reference>
          <reference field="3" count="1" selected="0">
            <x v="17"/>
          </reference>
        </references>
      </pivotArea>
    </chartFormat>
    <chartFormat chart="0" format="245" series="1">
      <pivotArea type="data" outline="0" fieldPosition="0">
        <references count="3">
          <reference field="4294967294" count="1" selected="0">
            <x v="1"/>
          </reference>
          <reference field="1" count="1" selected="0">
            <x v="2"/>
          </reference>
          <reference field="3" count="1" selected="0">
            <x v="6"/>
          </reference>
        </references>
      </pivotArea>
    </chartFormat>
    <chartFormat chart="0" format="246" series="1">
      <pivotArea type="data" outline="0" fieldPosition="0">
        <references count="3">
          <reference field="4294967294" count="1" selected="0">
            <x v="0"/>
          </reference>
          <reference field="1" count="1" selected="0">
            <x v="2"/>
          </reference>
          <reference field="3" count="1" selected="0">
            <x v="6"/>
          </reference>
        </references>
      </pivotArea>
    </chartFormat>
    <chartFormat chart="0" format="247" series="1">
      <pivotArea type="data" outline="0" fieldPosition="0">
        <references count="3">
          <reference field="4294967294" count="1" selected="0">
            <x v="1"/>
          </reference>
          <reference field="1" count="1" selected="0">
            <x v="2"/>
          </reference>
          <reference field="3" count="1" selected="0">
            <x v="11"/>
          </reference>
        </references>
      </pivotArea>
    </chartFormat>
    <chartFormat chart="0" format="248" series="1">
      <pivotArea type="data" outline="0" fieldPosition="0">
        <references count="3">
          <reference field="4294967294" count="1" selected="0">
            <x v="0"/>
          </reference>
          <reference field="1" count="1" selected="0">
            <x v="2"/>
          </reference>
          <reference field="3" count="1" selected="0">
            <x v="11"/>
          </reference>
        </references>
      </pivotArea>
    </chartFormat>
    <chartFormat chart="0" format="249" series="1">
      <pivotArea type="data" outline="0" fieldPosition="0">
        <references count="3">
          <reference field="4294967294" count="1" selected="0">
            <x v="1"/>
          </reference>
          <reference field="1" count="1" selected="0">
            <x v="2"/>
          </reference>
          <reference field="3" count="1" selected="0">
            <x v="12"/>
          </reference>
        </references>
      </pivotArea>
    </chartFormat>
    <chartFormat chart="0" format="250" series="1">
      <pivotArea type="data" outline="0" fieldPosition="0">
        <references count="3">
          <reference field="4294967294" count="1" selected="0">
            <x v="0"/>
          </reference>
          <reference field="1" count="1" selected="0">
            <x v="2"/>
          </reference>
          <reference field="3" count="1" selected="0">
            <x v="12"/>
          </reference>
        </references>
      </pivotArea>
    </chartFormat>
    <chartFormat chart="0" format="251" series="1">
      <pivotArea type="data" outline="0" fieldPosition="0">
        <references count="3">
          <reference field="4294967294" count="1" selected="0">
            <x v="1"/>
          </reference>
          <reference field="1" count="1" selected="0">
            <x v="2"/>
          </reference>
          <reference field="3" count="1" selected="0">
            <x v="13"/>
          </reference>
        </references>
      </pivotArea>
    </chartFormat>
    <chartFormat chart="0" format="252" series="1">
      <pivotArea type="data" outline="0" fieldPosition="0">
        <references count="3">
          <reference field="4294967294" count="1" selected="0">
            <x v="0"/>
          </reference>
          <reference field="1" count="1" selected="0">
            <x v="2"/>
          </reference>
          <reference field="3" count="1" selected="0">
            <x v="13"/>
          </reference>
        </references>
      </pivotArea>
    </chartFormat>
    <chartFormat chart="0" format="253" series="1">
      <pivotArea type="data" outline="0" fieldPosition="0">
        <references count="3">
          <reference field="4294967294" count="1" selected="0">
            <x v="1"/>
          </reference>
          <reference field="1" count="1" selected="0">
            <x v="2"/>
          </reference>
          <reference field="3" count="1" selected="0">
            <x v="15"/>
          </reference>
        </references>
      </pivotArea>
    </chartFormat>
    <chartFormat chart="0" format="254" series="1">
      <pivotArea type="data" outline="0" fieldPosition="0">
        <references count="3">
          <reference field="4294967294" count="1" selected="0">
            <x v="0"/>
          </reference>
          <reference field="1" count="1" selected="0">
            <x v="2"/>
          </reference>
          <reference field="3" count="1" selected="0">
            <x v="15"/>
          </reference>
        </references>
      </pivotArea>
    </chartFormat>
    <chartFormat chart="0" format="255" series="1">
      <pivotArea type="data" outline="0" fieldPosition="0">
        <references count="3">
          <reference field="4294967294" count="1" selected="0">
            <x v="1"/>
          </reference>
          <reference field="1" count="1" selected="0">
            <x v="3"/>
          </reference>
          <reference field="3" count="1" selected="0">
            <x v="6"/>
          </reference>
        </references>
      </pivotArea>
    </chartFormat>
    <chartFormat chart="0" format="256" series="1">
      <pivotArea type="data" outline="0" fieldPosition="0">
        <references count="3">
          <reference field="4294967294" count="1" selected="0">
            <x v="0"/>
          </reference>
          <reference field="1" count="1" selected="0">
            <x v="3"/>
          </reference>
          <reference field="3" count="1" selected="0">
            <x v="6"/>
          </reference>
        </references>
      </pivotArea>
    </chartFormat>
    <chartFormat chart="0" format="257" series="1">
      <pivotArea type="data" outline="0" fieldPosition="0">
        <references count="3">
          <reference field="4294967294" count="1" selected="0">
            <x v="1"/>
          </reference>
          <reference field="1" count="1" selected="0">
            <x v="3"/>
          </reference>
          <reference field="3" count="1" selected="0">
            <x v="7"/>
          </reference>
        </references>
      </pivotArea>
    </chartFormat>
    <chartFormat chart="0" format="258" series="1">
      <pivotArea type="data" outline="0" fieldPosition="0">
        <references count="3">
          <reference field="4294967294" count="1" selected="0">
            <x v="0"/>
          </reference>
          <reference field="1" count="1" selected="0">
            <x v="3"/>
          </reference>
          <reference field="3" count="1" selected="0">
            <x v="7"/>
          </reference>
        </references>
      </pivotArea>
    </chartFormat>
    <chartFormat chart="0" format="259" series="1">
      <pivotArea type="data" outline="0" fieldPosition="0">
        <references count="3">
          <reference field="4294967294" count="1" selected="0">
            <x v="1"/>
          </reference>
          <reference field="1" count="1" selected="0">
            <x v="3"/>
          </reference>
          <reference field="3" count="1" selected="0">
            <x v="9"/>
          </reference>
        </references>
      </pivotArea>
    </chartFormat>
    <chartFormat chart="0" format="260" series="1">
      <pivotArea type="data" outline="0" fieldPosition="0">
        <references count="3">
          <reference field="4294967294" count="1" selected="0">
            <x v="0"/>
          </reference>
          <reference field="1" count="1" selected="0">
            <x v="3"/>
          </reference>
          <reference field="3" count="1" selected="0">
            <x v="9"/>
          </reference>
        </references>
      </pivotArea>
    </chartFormat>
    <chartFormat chart="0" format="261" series="1">
      <pivotArea type="data" outline="0" fieldPosition="0">
        <references count="3">
          <reference field="4294967294" count="1" selected="0">
            <x v="1"/>
          </reference>
          <reference field="1" count="1" selected="0">
            <x v="3"/>
          </reference>
          <reference field="3" count="1" selected="0">
            <x v="10"/>
          </reference>
        </references>
      </pivotArea>
    </chartFormat>
    <chartFormat chart="0" format="262" series="1">
      <pivotArea type="data" outline="0" fieldPosition="0">
        <references count="3">
          <reference field="4294967294" count="1" selected="0">
            <x v="0"/>
          </reference>
          <reference field="1" count="1" selected="0">
            <x v="3"/>
          </reference>
          <reference field="3" count="1" selected="0">
            <x v="10"/>
          </reference>
        </references>
      </pivotArea>
    </chartFormat>
    <chartFormat chart="0" format="263" series="1">
      <pivotArea type="data" outline="0" fieldPosition="0">
        <references count="3">
          <reference field="4294967294" count="1" selected="0">
            <x v="1"/>
          </reference>
          <reference field="1" count="1" selected="0">
            <x v="3"/>
          </reference>
          <reference field="3" count="1" selected="0">
            <x v="13"/>
          </reference>
        </references>
      </pivotArea>
    </chartFormat>
    <chartFormat chart="0" format="264" series="1">
      <pivotArea type="data" outline="0" fieldPosition="0">
        <references count="3">
          <reference field="4294967294" count="1" selected="0">
            <x v="0"/>
          </reference>
          <reference field="1" count="1" selected="0">
            <x v="3"/>
          </reference>
          <reference field="3" count="1" selected="0">
            <x v="13"/>
          </reference>
        </references>
      </pivotArea>
    </chartFormat>
    <chartFormat chart="0" format="265" series="1">
      <pivotArea type="data" outline="0" fieldPosition="0">
        <references count="3">
          <reference field="4294967294" count="1" selected="0">
            <x v="1"/>
          </reference>
          <reference field="1" count="1" selected="0">
            <x v="4"/>
          </reference>
          <reference field="3" count="1" selected="0">
            <x v="0"/>
          </reference>
        </references>
      </pivotArea>
    </chartFormat>
    <chartFormat chart="0" format="266" series="1">
      <pivotArea type="data" outline="0" fieldPosition="0">
        <references count="3">
          <reference field="4294967294" count="1" selected="0">
            <x v="0"/>
          </reference>
          <reference field="1" count="1" selected="0">
            <x v="4"/>
          </reference>
          <reference field="3" count="1" selected="0">
            <x v="0"/>
          </reference>
        </references>
      </pivotArea>
    </chartFormat>
    <chartFormat chart="0" format="267" series="1">
      <pivotArea type="data" outline="0" fieldPosition="0">
        <references count="3">
          <reference field="4294967294" count="1" selected="0">
            <x v="1"/>
          </reference>
          <reference field="1" count="1" selected="0">
            <x v="4"/>
          </reference>
          <reference field="3" count="1" selected="0">
            <x v="2"/>
          </reference>
        </references>
      </pivotArea>
    </chartFormat>
    <chartFormat chart="0" format="268" series="1">
      <pivotArea type="data" outline="0" fieldPosition="0">
        <references count="3">
          <reference field="4294967294" count="1" selected="0">
            <x v="0"/>
          </reference>
          <reference field="1" count="1" selected="0">
            <x v="4"/>
          </reference>
          <reference field="3" count="1" selected="0">
            <x v="2"/>
          </reference>
        </references>
      </pivotArea>
    </chartFormat>
    <chartFormat chart="0" format="269" series="1">
      <pivotArea type="data" outline="0" fieldPosition="0">
        <references count="3">
          <reference field="4294967294" count="1" selected="0">
            <x v="1"/>
          </reference>
          <reference field="1" count="1" selected="0">
            <x v="4"/>
          </reference>
          <reference field="3" count="1" selected="0">
            <x v="10"/>
          </reference>
        </references>
      </pivotArea>
    </chartFormat>
    <chartFormat chart="0" format="270" series="1">
      <pivotArea type="data" outline="0" fieldPosition="0">
        <references count="3">
          <reference field="4294967294" count="1" selected="0">
            <x v="0"/>
          </reference>
          <reference field="1" count="1" selected="0">
            <x v="4"/>
          </reference>
          <reference field="3" count="1" selected="0">
            <x v="10"/>
          </reference>
        </references>
      </pivotArea>
    </chartFormat>
    <chartFormat chart="0" format="271" series="1">
      <pivotArea type="data" outline="0" fieldPosition="0">
        <references count="3">
          <reference field="4294967294" count="1" selected="0">
            <x v="1"/>
          </reference>
          <reference field="1" count="1" selected="0">
            <x v="4"/>
          </reference>
          <reference field="3" count="1" selected="0">
            <x v="16"/>
          </reference>
        </references>
      </pivotArea>
    </chartFormat>
    <chartFormat chart="0" format="272" series="1">
      <pivotArea type="data" outline="0" fieldPosition="0">
        <references count="3">
          <reference field="4294967294" count="1" selected="0">
            <x v="0"/>
          </reference>
          <reference field="1" count="1" selected="0">
            <x v="4"/>
          </reference>
          <reference field="3" count="1" selected="0">
            <x v="16"/>
          </reference>
        </references>
      </pivotArea>
    </chartFormat>
    <chartFormat chart="0" format="273" series="1">
      <pivotArea type="data" outline="0" fieldPosition="0">
        <references count="3">
          <reference field="4294967294" count="1" selected="0">
            <x v="1"/>
          </reference>
          <reference field="1" count="1" selected="0">
            <x v="4"/>
          </reference>
          <reference field="3" count="1" selected="0">
            <x v="17"/>
          </reference>
        </references>
      </pivotArea>
    </chartFormat>
    <chartFormat chart="0" format="274" series="1">
      <pivotArea type="data" outline="0" fieldPosition="0">
        <references count="3">
          <reference field="4294967294" count="1" selected="0">
            <x v="0"/>
          </reference>
          <reference field="1" count="1" selected="0">
            <x v="4"/>
          </reference>
          <reference field="3" count="1" selected="0">
            <x v="17"/>
          </reference>
        </references>
      </pivotArea>
    </chartFormat>
    <chartFormat chart="0" format="275" series="1">
      <pivotArea type="data" outline="0" fieldPosition="0">
        <references count="3">
          <reference field="4294967294" count="1" selected="0">
            <x v="1"/>
          </reference>
          <reference field="1" count="1" selected="0">
            <x v="5"/>
          </reference>
          <reference field="3" count="1" selected="0">
            <x v="1"/>
          </reference>
        </references>
      </pivotArea>
    </chartFormat>
    <chartFormat chart="0" format="276" series="1">
      <pivotArea type="data" outline="0" fieldPosition="0">
        <references count="3">
          <reference field="4294967294" count="1" selected="0">
            <x v="0"/>
          </reference>
          <reference field="1" count="1" selected="0">
            <x v="5"/>
          </reference>
          <reference field="3" count="1" selected="0">
            <x v="1"/>
          </reference>
        </references>
      </pivotArea>
    </chartFormat>
    <chartFormat chart="0" format="277" series="1">
      <pivotArea type="data" outline="0" fieldPosition="0">
        <references count="3">
          <reference field="4294967294" count="1" selected="0">
            <x v="1"/>
          </reference>
          <reference field="1" count="1" selected="0">
            <x v="5"/>
          </reference>
          <reference field="3" count="1" selected="0">
            <x v="4"/>
          </reference>
        </references>
      </pivotArea>
    </chartFormat>
    <chartFormat chart="0" format="278" series="1">
      <pivotArea type="data" outline="0" fieldPosition="0">
        <references count="3">
          <reference field="4294967294" count="1" selected="0">
            <x v="0"/>
          </reference>
          <reference field="1" count="1" selected="0">
            <x v="5"/>
          </reference>
          <reference field="3" count="1" selected="0">
            <x v="4"/>
          </reference>
        </references>
      </pivotArea>
    </chartFormat>
    <chartFormat chart="0" format="279" series="1">
      <pivotArea type="data" outline="0" fieldPosition="0">
        <references count="3">
          <reference field="4294967294" count="1" selected="0">
            <x v="1"/>
          </reference>
          <reference field="1" count="1" selected="0">
            <x v="5"/>
          </reference>
          <reference field="3" count="1" selected="0">
            <x v="8"/>
          </reference>
        </references>
      </pivotArea>
    </chartFormat>
    <chartFormat chart="0" format="280" series="1">
      <pivotArea type="data" outline="0" fieldPosition="0">
        <references count="3">
          <reference field="4294967294" count="1" selected="0">
            <x v="0"/>
          </reference>
          <reference field="1" count="1" selected="0">
            <x v="5"/>
          </reference>
          <reference field="3" count="1" selected="0">
            <x v="8"/>
          </reference>
        </references>
      </pivotArea>
    </chartFormat>
    <chartFormat chart="0" format="281" series="1">
      <pivotArea type="data" outline="0" fieldPosition="0">
        <references count="3">
          <reference field="4294967294" count="1" selected="0">
            <x v="1"/>
          </reference>
          <reference field="1" count="1" selected="0">
            <x v="5"/>
          </reference>
          <reference field="3" count="1" selected="0">
            <x v="10"/>
          </reference>
        </references>
      </pivotArea>
    </chartFormat>
    <chartFormat chart="0" format="282" series="1">
      <pivotArea type="data" outline="0" fieldPosition="0">
        <references count="3">
          <reference field="4294967294" count="1" selected="0">
            <x v="0"/>
          </reference>
          <reference field="1" count="1" selected="0">
            <x v="5"/>
          </reference>
          <reference field="3" count="1" selected="0">
            <x v="10"/>
          </reference>
        </references>
      </pivotArea>
    </chartFormat>
    <chartFormat chart="0" format="283" series="1">
      <pivotArea type="data" outline="0" fieldPosition="0">
        <references count="3">
          <reference field="4294967294" count="1" selected="0">
            <x v="1"/>
          </reference>
          <reference field="1" count="1" selected="0">
            <x v="5"/>
          </reference>
          <reference field="3" count="1" selected="0">
            <x v="14"/>
          </reference>
        </references>
      </pivotArea>
    </chartFormat>
    <chartFormat chart="0" format="284" series="1">
      <pivotArea type="data" outline="0" fieldPosition="0">
        <references count="3">
          <reference field="4294967294" count="1" selected="0">
            <x v="0"/>
          </reference>
          <reference field="1" count="1" selected="0">
            <x v="5"/>
          </reference>
          <reference field="3" count="1" selected="0">
            <x v="14"/>
          </reference>
        </references>
      </pivotArea>
    </chartFormat>
    <chartFormat chart="0" format="285" series="1">
      <pivotArea type="data" outline="0" fieldPosition="0">
        <references count="3">
          <reference field="4294967294" count="1" selected="0">
            <x v="1"/>
          </reference>
          <reference field="1" count="1" selected="0">
            <x v="5"/>
          </reference>
          <reference field="3" count="1" selected="0">
            <x v="15"/>
          </reference>
        </references>
      </pivotArea>
    </chartFormat>
    <chartFormat chart="0" format="286" series="1">
      <pivotArea type="data" outline="0" fieldPosition="0">
        <references count="3">
          <reference field="4294967294" count="1" selected="0">
            <x v="0"/>
          </reference>
          <reference field="1" count="1" selected="0">
            <x v="5"/>
          </reference>
          <reference field="3" count="1" selected="0">
            <x v="15"/>
          </reference>
        </references>
      </pivotArea>
    </chartFormat>
    <chartFormat chart="0" format="287" series="1">
      <pivotArea type="data" outline="0" fieldPosition="0">
        <references count="3">
          <reference field="4294967294" count="1" selected="0">
            <x v="1"/>
          </reference>
          <reference field="1" count="1" selected="0">
            <x v="6"/>
          </reference>
          <reference field="3" count="1" selected="0">
            <x v="0"/>
          </reference>
        </references>
      </pivotArea>
    </chartFormat>
    <chartFormat chart="0" format="288" series="1">
      <pivotArea type="data" outline="0" fieldPosition="0">
        <references count="3">
          <reference field="4294967294" count="1" selected="0">
            <x v="0"/>
          </reference>
          <reference field="1" count="1" selected="0">
            <x v="6"/>
          </reference>
          <reference field="3" count="1" selected="0">
            <x v="0"/>
          </reference>
        </references>
      </pivotArea>
    </chartFormat>
    <chartFormat chart="0" format="289" series="1">
      <pivotArea type="data" outline="0" fieldPosition="0">
        <references count="3">
          <reference field="4294967294" count="1" selected="0">
            <x v="1"/>
          </reference>
          <reference field="1" count="1" selected="0">
            <x v="6"/>
          </reference>
          <reference field="3" count="1" selected="0">
            <x v="1"/>
          </reference>
        </references>
      </pivotArea>
    </chartFormat>
    <chartFormat chart="0" format="290" series="1">
      <pivotArea type="data" outline="0" fieldPosition="0">
        <references count="3">
          <reference field="4294967294" count="1" selected="0">
            <x v="0"/>
          </reference>
          <reference field="1" count="1" selected="0">
            <x v="6"/>
          </reference>
          <reference field="3" count="1" selected="0">
            <x v="1"/>
          </reference>
        </references>
      </pivotArea>
    </chartFormat>
    <chartFormat chart="0" format="291" series="1">
      <pivotArea type="data" outline="0" fieldPosition="0">
        <references count="3">
          <reference field="4294967294" count="1" selected="0">
            <x v="1"/>
          </reference>
          <reference field="1" count="1" selected="0">
            <x v="6"/>
          </reference>
          <reference field="3" count="1" selected="0">
            <x v="5"/>
          </reference>
        </references>
      </pivotArea>
    </chartFormat>
    <chartFormat chart="0" format="292" series="1">
      <pivotArea type="data" outline="0" fieldPosition="0">
        <references count="3">
          <reference field="4294967294" count="1" selected="0">
            <x v="0"/>
          </reference>
          <reference field="1" count="1" selected="0">
            <x v="6"/>
          </reference>
          <reference field="3" count="1" selected="0">
            <x v="5"/>
          </reference>
        </references>
      </pivotArea>
    </chartFormat>
    <chartFormat chart="0" format="293" series="1">
      <pivotArea type="data" outline="0" fieldPosition="0">
        <references count="3">
          <reference field="4294967294" count="1" selected="0">
            <x v="1"/>
          </reference>
          <reference field="1" count="1" selected="0">
            <x v="6"/>
          </reference>
          <reference field="3" count="1" selected="0">
            <x v="15"/>
          </reference>
        </references>
      </pivotArea>
    </chartFormat>
    <chartFormat chart="0" format="294" series="1">
      <pivotArea type="data" outline="0" fieldPosition="0">
        <references count="3">
          <reference field="4294967294" count="1" selected="0">
            <x v="0"/>
          </reference>
          <reference field="1" count="1" selected="0">
            <x v="6"/>
          </reference>
          <reference field="3" count="1" selected="0">
            <x v="15"/>
          </reference>
        </references>
      </pivotArea>
    </chartFormat>
    <chartFormat chart="0" format="295" series="1">
      <pivotArea type="data" outline="0" fieldPosition="0">
        <references count="3">
          <reference field="4294967294" count="1" selected="0">
            <x v="1"/>
          </reference>
          <reference field="1" count="1" selected="0">
            <x v="6"/>
          </reference>
          <reference field="3" count="1" selected="0">
            <x v="17"/>
          </reference>
        </references>
      </pivotArea>
    </chartFormat>
    <chartFormat chart="0" format="296" series="1">
      <pivotArea type="data" outline="0" fieldPosition="0">
        <references count="3">
          <reference field="4294967294" count="1" selected="0">
            <x v="0"/>
          </reference>
          <reference field="1" count="1" selected="0">
            <x v="6"/>
          </reference>
          <reference field="3" count="1" selected="0">
            <x v="17"/>
          </reference>
        </references>
      </pivotArea>
    </chartFormat>
    <chartFormat chart="0" format="297" series="1">
      <pivotArea type="data" outline="0" fieldPosition="0">
        <references count="3">
          <reference field="4294967294" count="1" selected="0">
            <x v="1"/>
          </reference>
          <reference field="1" count="1" selected="0">
            <x v="7"/>
          </reference>
          <reference field="3" count="1" selected="0">
            <x v="1"/>
          </reference>
        </references>
      </pivotArea>
    </chartFormat>
    <chartFormat chart="0" format="298" series="1">
      <pivotArea type="data" outline="0" fieldPosition="0">
        <references count="3">
          <reference field="4294967294" count="1" selected="0">
            <x v="0"/>
          </reference>
          <reference field="1" count="1" selected="0">
            <x v="7"/>
          </reference>
          <reference field="3" count="1" selected="0">
            <x v="1"/>
          </reference>
        </references>
      </pivotArea>
    </chartFormat>
    <chartFormat chart="0" format="299" series="1">
      <pivotArea type="data" outline="0" fieldPosition="0">
        <references count="3">
          <reference field="4294967294" count="1" selected="0">
            <x v="1"/>
          </reference>
          <reference field="1" count="1" selected="0">
            <x v="7"/>
          </reference>
          <reference field="3" count="1" selected="0">
            <x v="3"/>
          </reference>
        </references>
      </pivotArea>
    </chartFormat>
    <chartFormat chart="0" format="300" series="1">
      <pivotArea type="data" outline="0" fieldPosition="0">
        <references count="3">
          <reference field="4294967294" count="1" selected="0">
            <x v="0"/>
          </reference>
          <reference field="1" count="1" selected="0">
            <x v="7"/>
          </reference>
          <reference field="3" count="1" selected="0">
            <x v="3"/>
          </reference>
        </references>
      </pivotArea>
    </chartFormat>
    <chartFormat chart="0" format="301" series="1">
      <pivotArea type="data" outline="0" fieldPosition="0">
        <references count="3">
          <reference field="4294967294" count="1" selected="0">
            <x v="1"/>
          </reference>
          <reference field="1" count="1" selected="0">
            <x v="7"/>
          </reference>
          <reference field="3" count="1" selected="0">
            <x v="10"/>
          </reference>
        </references>
      </pivotArea>
    </chartFormat>
    <chartFormat chart="0" format="302" series="1">
      <pivotArea type="data" outline="0" fieldPosition="0">
        <references count="3">
          <reference field="4294967294" count="1" selected="0">
            <x v="0"/>
          </reference>
          <reference field="1" count="1" selected="0">
            <x v="7"/>
          </reference>
          <reference field="3" count="1" selected="0">
            <x v="10"/>
          </reference>
        </references>
      </pivotArea>
    </chartFormat>
    <chartFormat chart="0" format="303" series="1">
      <pivotArea type="data" outline="0" fieldPosition="0">
        <references count="3">
          <reference field="4294967294" count="1" selected="0">
            <x v="1"/>
          </reference>
          <reference field="1" count="1" selected="0">
            <x v="7"/>
          </reference>
          <reference field="3" count="1" selected="0">
            <x v="11"/>
          </reference>
        </references>
      </pivotArea>
    </chartFormat>
    <chartFormat chart="0" format="304" series="1">
      <pivotArea type="data" outline="0" fieldPosition="0">
        <references count="3">
          <reference field="4294967294" count="1" selected="0">
            <x v="0"/>
          </reference>
          <reference field="1" count="1" selected="0">
            <x v="7"/>
          </reference>
          <reference field="3" count="1" selected="0">
            <x v="11"/>
          </reference>
        </references>
      </pivotArea>
    </chartFormat>
    <chartFormat chart="0" format="305" series="1">
      <pivotArea type="data" outline="0" fieldPosition="0">
        <references count="3">
          <reference field="4294967294" count="1" selected="0">
            <x v="1"/>
          </reference>
          <reference field="1" count="1" selected="0">
            <x v="7"/>
          </reference>
          <reference field="3" count="1" selected="0">
            <x v="13"/>
          </reference>
        </references>
      </pivotArea>
    </chartFormat>
    <chartFormat chart="0" format="306" series="1">
      <pivotArea type="data" outline="0" fieldPosition="0">
        <references count="3">
          <reference field="4294967294" count="1" selected="0">
            <x v="0"/>
          </reference>
          <reference field="1" count="1" selected="0">
            <x v="7"/>
          </reference>
          <reference field="3" count="1" selected="0">
            <x v="13"/>
          </reference>
        </references>
      </pivotArea>
    </chartFormat>
    <chartFormat chart="0" format="307" series="1">
      <pivotArea type="data" outline="0" fieldPosition="0">
        <references count="3">
          <reference field="4294967294" count="1" selected="0">
            <x v="1"/>
          </reference>
          <reference field="1" count="1" selected="0">
            <x v="8"/>
          </reference>
          <reference field="3" count="1" selected="0">
            <x v="0"/>
          </reference>
        </references>
      </pivotArea>
    </chartFormat>
    <chartFormat chart="0" format="308" series="1">
      <pivotArea type="data" outline="0" fieldPosition="0">
        <references count="3">
          <reference field="4294967294" count="1" selected="0">
            <x v="0"/>
          </reference>
          <reference field="1" count="1" selected="0">
            <x v="8"/>
          </reference>
          <reference field="3" count="1" selected="0">
            <x v="0"/>
          </reference>
        </references>
      </pivotArea>
    </chartFormat>
    <chartFormat chart="0" format="309" series="1">
      <pivotArea type="data" outline="0" fieldPosition="0">
        <references count="3">
          <reference field="4294967294" count="1" selected="0">
            <x v="1"/>
          </reference>
          <reference field="1" count="1" selected="0">
            <x v="8"/>
          </reference>
          <reference field="3" count="1" selected="0">
            <x v="6"/>
          </reference>
        </references>
      </pivotArea>
    </chartFormat>
    <chartFormat chart="0" format="310" series="1">
      <pivotArea type="data" outline="0" fieldPosition="0">
        <references count="3">
          <reference field="4294967294" count="1" selected="0">
            <x v="0"/>
          </reference>
          <reference field="1" count="1" selected="0">
            <x v="8"/>
          </reference>
          <reference field="3" count="1" selected="0">
            <x v="6"/>
          </reference>
        </references>
      </pivotArea>
    </chartFormat>
    <chartFormat chart="0" format="311" series="1">
      <pivotArea type="data" outline="0" fieldPosition="0">
        <references count="3">
          <reference field="4294967294" count="1" selected="0">
            <x v="1"/>
          </reference>
          <reference field="1" count="1" selected="0">
            <x v="8"/>
          </reference>
          <reference field="3" count="1" selected="0">
            <x v="16"/>
          </reference>
        </references>
      </pivotArea>
    </chartFormat>
    <chartFormat chart="0" format="312" series="1">
      <pivotArea type="data" outline="0" fieldPosition="0">
        <references count="3">
          <reference field="4294967294" count="1" selected="0">
            <x v="0"/>
          </reference>
          <reference field="1" count="1" selected="0">
            <x v="8"/>
          </reference>
          <reference field="3" count="1" selected="0">
            <x v="16"/>
          </reference>
        </references>
      </pivotArea>
    </chartFormat>
    <chartFormat chart="0" format="313" series="1">
      <pivotArea type="data" outline="0" fieldPosition="0">
        <references count="3">
          <reference field="4294967294" count="1" selected="0">
            <x v="1"/>
          </reference>
          <reference field="1" count="1" selected="0">
            <x v="8"/>
          </reference>
          <reference field="3" count="1" selected="0">
            <x v="18"/>
          </reference>
        </references>
      </pivotArea>
    </chartFormat>
    <chartFormat chart="0" format="314" series="1">
      <pivotArea type="data" outline="0" fieldPosition="0">
        <references count="3">
          <reference field="4294967294" count="1" selected="0">
            <x v="0"/>
          </reference>
          <reference field="1" count="1" selected="0">
            <x v="8"/>
          </reference>
          <reference field="3" count="1" selected="0">
            <x v="18"/>
          </reference>
        </references>
      </pivotArea>
    </chartFormat>
    <chartFormat chart="0" format="315" series="1">
      <pivotArea type="data" outline="0" fieldPosition="0">
        <references count="3">
          <reference field="4294967294" count="1" selected="0">
            <x v="1"/>
          </reference>
          <reference field="1" count="1" selected="0">
            <x v="8"/>
          </reference>
          <reference field="3" count="1" selected="0">
            <x v="19"/>
          </reference>
        </references>
      </pivotArea>
    </chartFormat>
    <chartFormat chart="0" format="316" series="1">
      <pivotArea type="data" outline="0" fieldPosition="0">
        <references count="3">
          <reference field="4294967294" count="1" selected="0">
            <x v="0"/>
          </reference>
          <reference field="1" count="1" selected="0">
            <x v="8"/>
          </reference>
          <reference field="3" count="1" selected="0">
            <x v="19"/>
          </reference>
        </references>
      </pivotArea>
    </chartFormat>
    <chartFormat chart="0" format="317" series="1">
      <pivotArea type="data" outline="0" fieldPosition="0">
        <references count="3">
          <reference field="4294967294" count="1" selected="0">
            <x v="1"/>
          </reference>
          <reference field="1" count="1" selected="0">
            <x v="9"/>
          </reference>
          <reference field="3" count="1" selected="0">
            <x v="3"/>
          </reference>
        </references>
      </pivotArea>
    </chartFormat>
    <chartFormat chart="0" format="318" series="1">
      <pivotArea type="data" outline="0" fieldPosition="0">
        <references count="3">
          <reference field="4294967294" count="1" selected="0">
            <x v="0"/>
          </reference>
          <reference field="1" count="1" selected="0">
            <x v="9"/>
          </reference>
          <reference field="3" count="1" selected="0">
            <x v="3"/>
          </reference>
        </references>
      </pivotArea>
    </chartFormat>
    <chartFormat chart="0" format="319" series="1">
      <pivotArea type="data" outline="0" fieldPosition="0">
        <references count="3">
          <reference field="4294967294" count="1" selected="0">
            <x v="1"/>
          </reference>
          <reference field="1" count="1" selected="0">
            <x v="9"/>
          </reference>
          <reference field="3" count="1" selected="0">
            <x v="7"/>
          </reference>
        </references>
      </pivotArea>
    </chartFormat>
    <chartFormat chart="0" format="320" series="1">
      <pivotArea type="data" outline="0" fieldPosition="0">
        <references count="3">
          <reference field="4294967294" count="1" selected="0">
            <x v="0"/>
          </reference>
          <reference field="1" count="1" selected="0">
            <x v="9"/>
          </reference>
          <reference field="3" count="1" selected="0">
            <x v="7"/>
          </reference>
        </references>
      </pivotArea>
    </chartFormat>
    <chartFormat chart="0" format="321" series="1">
      <pivotArea type="data" outline="0" fieldPosition="0">
        <references count="3">
          <reference field="4294967294" count="1" selected="0">
            <x v="1"/>
          </reference>
          <reference field="1" count="1" selected="0">
            <x v="9"/>
          </reference>
          <reference field="3" count="1" selected="0">
            <x v="14"/>
          </reference>
        </references>
      </pivotArea>
    </chartFormat>
    <chartFormat chart="0" format="322" series="1">
      <pivotArea type="data" outline="0" fieldPosition="0">
        <references count="3">
          <reference field="4294967294" count="1" selected="0">
            <x v="0"/>
          </reference>
          <reference field="1" count="1" selected="0">
            <x v="9"/>
          </reference>
          <reference field="3" count="1" selected="0">
            <x v="14"/>
          </reference>
        </references>
      </pivotArea>
    </chartFormat>
    <chartFormat chart="0" format="323" series="1">
      <pivotArea type="data" outline="0" fieldPosition="0">
        <references count="3">
          <reference field="4294967294" count="1" selected="0">
            <x v="1"/>
          </reference>
          <reference field="1" count="1" selected="0">
            <x v="9"/>
          </reference>
          <reference field="3" count="1" selected="0">
            <x v="16"/>
          </reference>
        </references>
      </pivotArea>
    </chartFormat>
    <chartFormat chart="0" format="324" series="1">
      <pivotArea type="data" outline="0" fieldPosition="0">
        <references count="3">
          <reference field="4294967294" count="1" selected="0">
            <x v="0"/>
          </reference>
          <reference field="1" count="1" selected="0">
            <x v="9"/>
          </reference>
          <reference field="3" count="1" selected="0">
            <x v="16"/>
          </reference>
        </references>
      </pivotArea>
    </chartFormat>
    <chartFormat chart="0" format="325" series="1">
      <pivotArea type="data" outline="0" fieldPosition="0">
        <references count="3">
          <reference field="4294967294" count="1" selected="0">
            <x v="1"/>
          </reference>
          <reference field="1" count="1" selected="0">
            <x v="9"/>
          </reference>
          <reference field="3" count="1" selected="0">
            <x v="19"/>
          </reference>
        </references>
      </pivotArea>
    </chartFormat>
    <chartFormat chart="0" format="326" series="1">
      <pivotArea type="data" outline="0" fieldPosition="0">
        <references count="3">
          <reference field="4294967294" count="1" selected="0">
            <x v="0"/>
          </reference>
          <reference field="1" count="1" selected="0">
            <x v="9"/>
          </reference>
          <reference field="3" count="1" selected="0">
            <x v="19"/>
          </reference>
        </references>
      </pivotArea>
    </chartFormat>
    <chartFormat chart="0" format="327" series="1">
      <pivotArea type="data" outline="0" fieldPosition="0">
        <references count="3">
          <reference field="4294967294" count="1" selected="0">
            <x v="1"/>
          </reference>
          <reference field="1" count="1" selected="0">
            <x v="10"/>
          </reference>
          <reference field="3" count="1" selected="0">
            <x v="0"/>
          </reference>
        </references>
      </pivotArea>
    </chartFormat>
    <chartFormat chart="0" format="328" series="1">
      <pivotArea type="data" outline="0" fieldPosition="0">
        <references count="3">
          <reference field="4294967294" count="1" selected="0">
            <x v="0"/>
          </reference>
          <reference field="1" count="1" selected="0">
            <x v="10"/>
          </reference>
          <reference field="3" count="1" selected="0">
            <x v="0"/>
          </reference>
        </references>
      </pivotArea>
    </chartFormat>
    <chartFormat chart="0" format="329" series="1">
      <pivotArea type="data" outline="0" fieldPosition="0">
        <references count="3">
          <reference field="4294967294" count="1" selected="0">
            <x v="1"/>
          </reference>
          <reference field="1" count="1" selected="0">
            <x v="10"/>
          </reference>
          <reference field="3" count="1" selected="0">
            <x v="7"/>
          </reference>
        </references>
      </pivotArea>
    </chartFormat>
    <chartFormat chart="0" format="330" series="1">
      <pivotArea type="data" outline="0" fieldPosition="0">
        <references count="3">
          <reference field="4294967294" count="1" selected="0">
            <x v="0"/>
          </reference>
          <reference field="1" count="1" selected="0">
            <x v="10"/>
          </reference>
          <reference field="3" count="1" selected="0">
            <x v="7"/>
          </reference>
        </references>
      </pivotArea>
    </chartFormat>
    <chartFormat chart="0" format="331" series="1">
      <pivotArea type="data" outline="0" fieldPosition="0">
        <references count="3">
          <reference field="4294967294" count="1" selected="0">
            <x v="1"/>
          </reference>
          <reference field="1" count="1" selected="0">
            <x v="10"/>
          </reference>
          <reference field="3" count="1" selected="0">
            <x v="11"/>
          </reference>
        </references>
      </pivotArea>
    </chartFormat>
    <chartFormat chart="0" format="332" series="1">
      <pivotArea type="data" outline="0" fieldPosition="0">
        <references count="3">
          <reference field="4294967294" count="1" selected="0">
            <x v="0"/>
          </reference>
          <reference field="1" count="1" selected="0">
            <x v="10"/>
          </reference>
          <reference field="3" count="1" selected="0">
            <x v="11"/>
          </reference>
        </references>
      </pivotArea>
    </chartFormat>
    <chartFormat chart="0" format="333" series="1">
      <pivotArea type="data" outline="0" fieldPosition="0">
        <references count="3">
          <reference field="4294967294" count="1" selected="0">
            <x v="1"/>
          </reference>
          <reference field="1" count="1" selected="0">
            <x v="10"/>
          </reference>
          <reference field="3" count="1" selected="0">
            <x v="15"/>
          </reference>
        </references>
      </pivotArea>
    </chartFormat>
    <chartFormat chart="0" format="334" series="1">
      <pivotArea type="data" outline="0" fieldPosition="0">
        <references count="3">
          <reference field="4294967294" count="1" selected="0">
            <x v="0"/>
          </reference>
          <reference field="1" count="1" selected="0">
            <x v="10"/>
          </reference>
          <reference field="3" count="1" selected="0">
            <x v="15"/>
          </reference>
        </references>
      </pivotArea>
    </chartFormat>
    <chartFormat chart="0" format="335" series="1">
      <pivotArea type="data" outline="0" fieldPosition="0">
        <references count="3">
          <reference field="4294967294" count="1" selected="0">
            <x v="1"/>
          </reference>
          <reference field="1" count="1" selected="0">
            <x v="10"/>
          </reference>
          <reference field="3" count="1" selected="0">
            <x v="16"/>
          </reference>
        </references>
      </pivotArea>
    </chartFormat>
    <chartFormat chart="0" format="336" series="1">
      <pivotArea type="data" outline="0" fieldPosition="0">
        <references count="3">
          <reference field="4294967294" count="1" selected="0">
            <x v="0"/>
          </reference>
          <reference field="1" count="1" selected="0">
            <x v="10"/>
          </reference>
          <reference field="3" count="1" selected="0">
            <x v="16"/>
          </reference>
        </references>
      </pivotArea>
    </chartFormat>
    <chartFormat chart="0" format="337" series="1">
      <pivotArea type="data" outline="0" fieldPosition="0">
        <references count="3">
          <reference field="4294967294" count="1" selected="0">
            <x v="1"/>
          </reference>
          <reference field="1" count="1" selected="0">
            <x v="11"/>
          </reference>
          <reference field="3" count="1" selected="0">
            <x v="3"/>
          </reference>
        </references>
      </pivotArea>
    </chartFormat>
    <chartFormat chart="0" format="338" series="1">
      <pivotArea type="data" outline="0" fieldPosition="0">
        <references count="3">
          <reference field="4294967294" count="1" selected="0">
            <x v="0"/>
          </reference>
          <reference field="1" count="1" selected="0">
            <x v="11"/>
          </reference>
          <reference field="3" count="1" selected="0">
            <x v="3"/>
          </reference>
        </references>
      </pivotArea>
    </chartFormat>
    <chartFormat chart="0" format="339" series="1">
      <pivotArea type="data" outline="0" fieldPosition="0">
        <references count="3">
          <reference field="4294967294" count="1" selected="0">
            <x v="1"/>
          </reference>
          <reference field="1" count="1" selected="0">
            <x v="11"/>
          </reference>
          <reference field="3" count="1" selected="0">
            <x v="4"/>
          </reference>
        </references>
      </pivotArea>
    </chartFormat>
    <chartFormat chart="0" format="340" series="1">
      <pivotArea type="data" outline="0" fieldPosition="0">
        <references count="3">
          <reference field="4294967294" count="1" selected="0">
            <x v="0"/>
          </reference>
          <reference field="1" count="1" selected="0">
            <x v="11"/>
          </reference>
          <reference field="3" count="1" selected="0">
            <x v="4"/>
          </reference>
        </references>
      </pivotArea>
    </chartFormat>
    <chartFormat chart="0" format="341" series="1">
      <pivotArea type="data" outline="0" fieldPosition="0">
        <references count="3">
          <reference field="4294967294" count="1" selected="0">
            <x v="1"/>
          </reference>
          <reference field="1" count="1" selected="0">
            <x v="11"/>
          </reference>
          <reference field="3" count="1" selected="0">
            <x v="8"/>
          </reference>
        </references>
      </pivotArea>
    </chartFormat>
    <chartFormat chart="0" format="342" series="1">
      <pivotArea type="data" outline="0" fieldPosition="0">
        <references count="3">
          <reference field="4294967294" count="1" selected="0">
            <x v="0"/>
          </reference>
          <reference field="1" count="1" selected="0">
            <x v="11"/>
          </reference>
          <reference field="3" count="1" selected="0">
            <x v="8"/>
          </reference>
        </references>
      </pivotArea>
    </chartFormat>
    <chartFormat chart="0" format="343" series="1">
      <pivotArea type="data" outline="0" fieldPosition="0">
        <references count="3">
          <reference field="4294967294" count="1" selected="0">
            <x v="1"/>
          </reference>
          <reference field="1" count="1" selected="0">
            <x v="11"/>
          </reference>
          <reference field="3" count="1" selected="0">
            <x v="10"/>
          </reference>
        </references>
      </pivotArea>
    </chartFormat>
    <chartFormat chart="0" format="344" series="1">
      <pivotArea type="data" outline="0" fieldPosition="0">
        <references count="3">
          <reference field="4294967294" count="1" selected="0">
            <x v="0"/>
          </reference>
          <reference field="1" count="1" selected="0">
            <x v="11"/>
          </reference>
          <reference field="3" count="1" selected="0">
            <x v="10"/>
          </reference>
        </references>
      </pivotArea>
    </chartFormat>
    <chartFormat chart="0" format="345" series="1">
      <pivotArea type="data" outline="0" fieldPosition="0">
        <references count="3">
          <reference field="4294967294" count="1" selected="0">
            <x v="1"/>
          </reference>
          <reference field="1" count="1" selected="0">
            <x v="11"/>
          </reference>
          <reference field="3" count="1" selected="0">
            <x v="15"/>
          </reference>
        </references>
      </pivotArea>
    </chartFormat>
    <chartFormat chart="0" format="346" series="1">
      <pivotArea type="data" outline="0" fieldPosition="0">
        <references count="3">
          <reference field="4294967294" count="1" selected="0">
            <x v="0"/>
          </reference>
          <reference field="1" count="1" selected="0">
            <x v="11"/>
          </reference>
          <reference field="3" count="1" selected="0">
            <x v="15"/>
          </reference>
        </references>
      </pivotArea>
    </chartFormat>
    <chartFormat chart="0" format="347" series="1">
      <pivotArea type="data" outline="0" fieldPosition="0">
        <references count="2">
          <reference field="4294967294" count="1" selected="0">
            <x v="1"/>
          </reference>
          <reference field="1" count="1" selected="0">
            <x v="0"/>
          </reference>
        </references>
      </pivotArea>
    </chartFormat>
    <chartFormat chart="0" format="348" series="1">
      <pivotArea type="data" outline="0" fieldPosition="0">
        <references count="2">
          <reference field="4294967294" count="1" selected="0">
            <x v="0"/>
          </reference>
          <reference field="1" count="1" selected="0">
            <x v="0"/>
          </reference>
        </references>
      </pivotArea>
    </chartFormat>
    <chartFormat chart="0" format="349" series="1">
      <pivotArea type="data" outline="0" fieldPosition="0">
        <references count="2">
          <reference field="4294967294" count="1" selected="0">
            <x v="1"/>
          </reference>
          <reference field="1" count="1" selected="0">
            <x v="1"/>
          </reference>
        </references>
      </pivotArea>
    </chartFormat>
    <chartFormat chart="0" format="350" series="1">
      <pivotArea type="data" outline="0" fieldPosition="0">
        <references count="2">
          <reference field="4294967294" count="1" selected="0">
            <x v="0"/>
          </reference>
          <reference field="1" count="1" selected="0">
            <x v="1"/>
          </reference>
        </references>
      </pivotArea>
    </chartFormat>
    <chartFormat chart="0" format="351" series="1">
      <pivotArea type="data" outline="0" fieldPosition="0">
        <references count="2">
          <reference field="4294967294" count="1" selected="0">
            <x v="1"/>
          </reference>
          <reference field="1" count="1" selected="0">
            <x v="2"/>
          </reference>
        </references>
      </pivotArea>
    </chartFormat>
    <chartFormat chart="0" format="352" series="1">
      <pivotArea type="data" outline="0" fieldPosition="0">
        <references count="2">
          <reference field="4294967294" count="1" selected="0">
            <x v="0"/>
          </reference>
          <reference field="1" count="1" selected="0">
            <x v="2"/>
          </reference>
        </references>
      </pivotArea>
    </chartFormat>
    <chartFormat chart="0" format="353" series="1">
      <pivotArea type="data" outline="0" fieldPosition="0">
        <references count="2">
          <reference field="4294967294" count="1" selected="0">
            <x v="1"/>
          </reference>
          <reference field="1" count="1" selected="0">
            <x v="3"/>
          </reference>
        </references>
      </pivotArea>
    </chartFormat>
    <chartFormat chart="0" format="354" series="1">
      <pivotArea type="data" outline="0" fieldPosition="0">
        <references count="2">
          <reference field="4294967294" count="1" selected="0">
            <x v="0"/>
          </reference>
          <reference field="1" count="1" selected="0">
            <x v="3"/>
          </reference>
        </references>
      </pivotArea>
    </chartFormat>
    <chartFormat chart="0" format="355" series="1">
      <pivotArea type="data" outline="0" fieldPosition="0">
        <references count="2">
          <reference field="4294967294" count="1" selected="0">
            <x v="1"/>
          </reference>
          <reference field="1" count="1" selected="0">
            <x v="4"/>
          </reference>
        </references>
      </pivotArea>
    </chartFormat>
    <chartFormat chart="0" format="356" series="1">
      <pivotArea type="data" outline="0" fieldPosition="0">
        <references count="2">
          <reference field="4294967294" count="1" selected="0">
            <x v="0"/>
          </reference>
          <reference field="1" count="1" selected="0">
            <x v="4"/>
          </reference>
        </references>
      </pivotArea>
    </chartFormat>
    <chartFormat chart="0" format="357" series="1">
      <pivotArea type="data" outline="0" fieldPosition="0">
        <references count="2">
          <reference field="4294967294" count="1" selected="0">
            <x v="1"/>
          </reference>
          <reference field="1" count="1" selected="0">
            <x v="5"/>
          </reference>
        </references>
      </pivotArea>
    </chartFormat>
    <chartFormat chart="0" format="358" series="1">
      <pivotArea type="data" outline="0" fieldPosition="0">
        <references count="2">
          <reference field="4294967294" count="1" selected="0">
            <x v="0"/>
          </reference>
          <reference field="1" count="1" selected="0">
            <x v="5"/>
          </reference>
        </references>
      </pivotArea>
    </chartFormat>
    <chartFormat chart="0" format="359" series="1">
      <pivotArea type="data" outline="0" fieldPosition="0">
        <references count="2">
          <reference field="4294967294" count="1" selected="0">
            <x v="1"/>
          </reference>
          <reference field="1" count="1" selected="0">
            <x v="6"/>
          </reference>
        </references>
      </pivotArea>
    </chartFormat>
    <chartFormat chart="0" format="360" series="1">
      <pivotArea type="data" outline="0" fieldPosition="0">
        <references count="2">
          <reference field="4294967294" count="1" selected="0">
            <x v="0"/>
          </reference>
          <reference field="1" count="1" selected="0">
            <x v="6"/>
          </reference>
        </references>
      </pivotArea>
    </chartFormat>
    <chartFormat chart="0" format="361" series="1">
      <pivotArea type="data" outline="0" fieldPosition="0">
        <references count="2">
          <reference field="4294967294" count="1" selected="0">
            <x v="1"/>
          </reference>
          <reference field="1" count="1" selected="0">
            <x v="7"/>
          </reference>
        </references>
      </pivotArea>
    </chartFormat>
    <chartFormat chart="0" format="362" series="1">
      <pivotArea type="data" outline="0" fieldPosition="0">
        <references count="2">
          <reference field="4294967294" count="1" selected="0">
            <x v="0"/>
          </reference>
          <reference field="1" count="1" selected="0">
            <x v="7"/>
          </reference>
        </references>
      </pivotArea>
    </chartFormat>
    <chartFormat chart="0" format="363" series="1">
      <pivotArea type="data" outline="0" fieldPosition="0">
        <references count="2">
          <reference field="4294967294" count="1" selected="0">
            <x v="1"/>
          </reference>
          <reference field="1" count="1" selected="0">
            <x v="8"/>
          </reference>
        </references>
      </pivotArea>
    </chartFormat>
    <chartFormat chart="0" format="364" series="1">
      <pivotArea type="data" outline="0" fieldPosition="0">
        <references count="2">
          <reference field="4294967294" count="1" selected="0">
            <x v="0"/>
          </reference>
          <reference field="1" count="1" selected="0">
            <x v="8"/>
          </reference>
        </references>
      </pivotArea>
    </chartFormat>
    <chartFormat chart="0" format="365" series="1">
      <pivotArea type="data" outline="0" fieldPosition="0">
        <references count="2">
          <reference field="4294967294" count="1" selected="0">
            <x v="1"/>
          </reference>
          <reference field="1" count="1" selected="0">
            <x v="9"/>
          </reference>
        </references>
      </pivotArea>
    </chartFormat>
    <chartFormat chart="0" format="366" series="1">
      <pivotArea type="data" outline="0" fieldPosition="0">
        <references count="2">
          <reference field="4294967294" count="1" selected="0">
            <x v="0"/>
          </reference>
          <reference field="1" count="1" selected="0">
            <x v="9"/>
          </reference>
        </references>
      </pivotArea>
    </chartFormat>
    <chartFormat chart="0" format="367" series="1">
      <pivotArea type="data" outline="0" fieldPosition="0">
        <references count="2">
          <reference field="4294967294" count="1" selected="0">
            <x v="1"/>
          </reference>
          <reference field="1" count="1" selected="0">
            <x v="10"/>
          </reference>
        </references>
      </pivotArea>
    </chartFormat>
    <chartFormat chart="0" format="368" series="1">
      <pivotArea type="data" outline="0" fieldPosition="0">
        <references count="2">
          <reference field="4294967294" count="1" selected="0">
            <x v="0"/>
          </reference>
          <reference field="1" count="1" selected="0">
            <x v="10"/>
          </reference>
        </references>
      </pivotArea>
    </chartFormat>
    <chartFormat chart="0" format="369" series="1">
      <pivotArea type="data" outline="0" fieldPosition="0">
        <references count="2">
          <reference field="4294967294" count="1" selected="0">
            <x v="1"/>
          </reference>
          <reference field="1" count="1" selected="0">
            <x v="11"/>
          </reference>
        </references>
      </pivotArea>
    </chartFormat>
    <chartFormat chart="0" format="370" series="1">
      <pivotArea type="data" outline="0" fieldPosition="0">
        <references count="2">
          <reference field="4294967294" count="1" selected="0">
            <x v="0"/>
          </reference>
          <reference field="1" count="1" selected="0">
            <x v="11"/>
          </reference>
        </references>
      </pivotArea>
    </chartFormat>
    <chartFormat chart="79" format="395" series="1">
      <pivotArea type="data" outline="0" fieldPosition="0">
        <references count="2">
          <reference field="4294967294" count="1" selected="0">
            <x v="0"/>
          </reference>
          <reference field="1" count="1" selected="0">
            <x v="0"/>
          </reference>
        </references>
      </pivotArea>
    </chartFormat>
    <chartFormat chart="79" format="396" series="1">
      <pivotArea type="data" outline="0" fieldPosition="0">
        <references count="2">
          <reference field="4294967294" count="1" selected="0">
            <x v="0"/>
          </reference>
          <reference field="1" count="1" selected="0">
            <x v="1"/>
          </reference>
        </references>
      </pivotArea>
    </chartFormat>
    <chartFormat chart="79" format="397" series="1">
      <pivotArea type="data" outline="0" fieldPosition="0">
        <references count="2">
          <reference field="4294967294" count="1" selected="0">
            <x v="0"/>
          </reference>
          <reference field="1" count="1" selected="0">
            <x v="2"/>
          </reference>
        </references>
      </pivotArea>
    </chartFormat>
    <chartFormat chart="79" format="398" series="1">
      <pivotArea type="data" outline="0" fieldPosition="0">
        <references count="2">
          <reference field="4294967294" count="1" selected="0">
            <x v="0"/>
          </reference>
          <reference field="1" count="1" selected="0">
            <x v="3"/>
          </reference>
        </references>
      </pivotArea>
    </chartFormat>
    <chartFormat chart="79" format="399" series="1">
      <pivotArea type="data" outline="0" fieldPosition="0">
        <references count="2">
          <reference field="4294967294" count="1" selected="0">
            <x v="0"/>
          </reference>
          <reference field="1" count="1" selected="0">
            <x v="4"/>
          </reference>
        </references>
      </pivotArea>
    </chartFormat>
    <chartFormat chart="79" format="400" series="1">
      <pivotArea type="data" outline="0" fieldPosition="0">
        <references count="2">
          <reference field="4294967294" count="1" selected="0">
            <x v="0"/>
          </reference>
          <reference field="1" count="1" selected="0">
            <x v="5"/>
          </reference>
        </references>
      </pivotArea>
    </chartFormat>
    <chartFormat chart="79" format="401" series="1">
      <pivotArea type="data" outline="0" fieldPosition="0">
        <references count="2">
          <reference field="4294967294" count="1" selected="0">
            <x v="0"/>
          </reference>
          <reference field="1" count="1" selected="0">
            <x v="6"/>
          </reference>
        </references>
      </pivotArea>
    </chartFormat>
    <chartFormat chart="79" format="402" series="1">
      <pivotArea type="data" outline="0" fieldPosition="0">
        <references count="2">
          <reference field="4294967294" count="1" selected="0">
            <x v="0"/>
          </reference>
          <reference field="1" count="1" selected="0">
            <x v="7"/>
          </reference>
        </references>
      </pivotArea>
    </chartFormat>
    <chartFormat chart="79" format="403" series="1">
      <pivotArea type="data" outline="0" fieldPosition="0">
        <references count="2">
          <reference field="4294967294" count="1" selected="0">
            <x v="0"/>
          </reference>
          <reference field="1" count="1" selected="0">
            <x v="8"/>
          </reference>
        </references>
      </pivotArea>
    </chartFormat>
    <chartFormat chart="79" format="404" series="1">
      <pivotArea type="data" outline="0" fieldPosition="0">
        <references count="2">
          <reference field="4294967294" count="1" selected="0">
            <x v="0"/>
          </reference>
          <reference field="1" count="1" selected="0">
            <x v="9"/>
          </reference>
        </references>
      </pivotArea>
    </chartFormat>
    <chartFormat chart="79" format="405" series="1">
      <pivotArea type="data" outline="0" fieldPosition="0">
        <references count="2">
          <reference field="4294967294" count="1" selected="0">
            <x v="0"/>
          </reference>
          <reference field="1" count="1" selected="0">
            <x v="10"/>
          </reference>
        </references>
      </pivotArea>
    </chartFormat>
    <chartFormat chart="79" format="406" series="1">
      <pivotArea type="data" outline="0" fieldPosition="0">
        <references count="2">
          <reference field="4294967294" count="1" selected="0">
            <x v="0"/>
          </reference>
          <reference field="1" count="1" selected="0">
            <x v="11"/>
          </reference>
        </references>
      </pivotArea>
    </chartFormat>
    <chartFormat chart="79" format="407" series="1">
      <pivotArea type="data" outline="0" fieldPosition="0">
        <references count="2">
          <reference field="4294967294" count="1" selected="0">
            <x v="1"/>
          </reference>
          <reference field="1" count="1" selected="0">
            <x v="0"/>
          </reference>
        </references>
      </pivotArea>
    </chartFormat>
    <chartFormat chart="79" format="408" series="1">
      <pivotArea type="data" outline="0" fieldPosition="0">
        <references count="2">
          <reference field="4294967294" count="1" selected="0">
            <x v="1"/>
          </reference>
          <reference field="1" count="1" selected="0">
            <x v="1"/>
          </reference>
        </references>
      </pivotArea>
    </chartFormat>
    <chartFormat chart="79" format="409" series="1">
      <pivotArea type="data" outline="0" fieldPosition="0">
        <references count="2">
          <reference field="4294967294" count="1" selected="0">
            <x v="1"/>
          </reference>
          <reference field="1" count="1" selected="0">
            <x v="2"/>
          </reference>
        </references>
      </pivotArea>
    </chartFormat>
    <chartFormat chart="79" format="410" series="1">
      <pivotArea type="data" outline="0" fieldPosition="0">
        <references count="2">
          <reference field="4294967294" count="1" selected="0">
            <x v="1"/>
          </reference>
          <reference field="1" count="1" selected="0">
            <x v="3"/>
          </reference>
        </references>
      </pivotArea>
    </chartFormat>
    <chartFormat chart="79" format="411" series="1">
      <pivotArea type="data" outline="0" fieldPosition="0">
        <references count="2">
          <reference field="4294967294" count="1" selected="0">
            <x v="1"/>
          </reference>
          <reference field="1" count="1" selected="0">
            <x v="4"/>
          </reference>
        </references>
      </pivotArea>
    </chartFormat>
    <chartFormat chart="79" format="412" series="1">
      <pivotArea type="data" outline="0" fieldPosition="0">
        <references count="2">
          <reference field="4294967294" count="1" selected="0">
            <x v="1"/>
          </reference>
          <reference field="1" count="1" selected="0">
            <x v="5"/>
          </reference>
        </references>
      </pivotArea>
    </chartFormat>
    <chartFormat chart="79" format="413" series="1">
      <pivotArea type="data" outline="0" fieldPosition="0">
        <references count="2">
          <reference field="4294967294" count="1" selected="0">
            <x v="1"/>
          </reference>
          <reference field="1" count="1" selected="0">
            <x v="6"/>
          </reference>
        </references>
      </pivotArea>
    </chartFormat>
    <chartFormat chart="79" format="414" series="1">
      <pivotArea type="data" outline="0" fieldPosition="0">
        <references count="2">
          <reference field="4294967294" count="1" selected="0">
            <x v="1"/>
          </reference>
          <reference field="1" count="1" selected="0">
            <x v="7"/>
          </reference>
        </references>
      </pivotArea>
    </chartFormat>
    <chartFormat chart="79" format="415" series="1">
      <pivotArea type="data" outline="0" fieldPosition="0">
        <references count="2">
          <reference field="4294967294" count="1" selected="0">
            <x v="1"/>
          </reference>
          <reference field="1" count="1" selected="0">
            <x v="8"/>
          </reference>
        </references>
      </pivotArea>
    </chartFormat>
    <chartFormat chart="79" format="416" series="1">
      <pivotArea type="data" outline="0" fieldPosition="0">
        <references count="2">
          <reference field="4294967294" count="1" selected="0">
            <x v="1"/>
          </reference>
          <reference field="1" count="1" selected="0">
            <x v="9"/>
          </reference>
        </references>
      </pivotArea>
    </chartFormat>
    <chartFormat chart="79" format="417" series="1">
      <pivotArea type="data" outline="0" fieldPosition="0">
        <references count="2">
          <reference field="4294967294" count="1" selected="0">
            <x v="1"/>
          </reference>
          <reference field="1" count="1" selected="0">
            <x v="10"/>
          </reference>
        </references>
      </pivotArea>
    </chartFormat>
    <chartFormat chart="79" format="418" series="1">
      <pivotArea type="data" outline="0" fieldPosition="0">
        <references count="2">
          <reference field="4294967294" count="1" selected="0">
            <x v="1"/>
          </reference>
          <reference field="1" count="1" selected="0">
            <x v="11"/>
          </reference>
        </references>
      </pivotArea>
    </chartFormat>
    <chartFormat chart="79" format="419" series="1">
      <pivotArea type="data" grandCol="1" outline="0" fieldPosition="0">
        <references count="1">
          <reference field="4294967294" count="1" selected="0">
            <x v="0"/>
          </reference>
        </references>
      </pivotArea>
    </chartFormat>
    <chartFormat chart="79" format="420" series="1">
      <pivotArea type="data" grandCol="1" outline="0" fieldPosition="0">
        <references count="1">
          <reference field="4294967294" count="1" selected="0">
            <x v="1"/>
          </reference>
        </references>
      </pivotArea>
    </chartFormat>
    <chartFormat chart="0" format="371" series="1">
      <pivotArea type="data" grandCol="1" outline="0" fieldPosition="0">
        <references count="1">
          <reference field="4294967294" count="1" selected="0">
            <x v="0"/>
          </reference>
        </references>
      </pivotArea>
    </chartFormat>
    <chartFormat chart="0" format="372"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7B2255-8FA0-4A1F-8700-9EB1157E1EFC}"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24" firstHeaderRow="1" firstDataRow="1" firstDataCol="1"/>
  <pivotFields count="10">
    <pivotField showAll="0"/>
    <pivotField showAll="0">
      <items count="13">
        <item x="0"/>
        <item x="1"/>
        <item x="2"/>
        <item x="3"/>
        <item x="4"/>
        <item x="5"/>
        <item x="6"/>
        <item x="7"/>
        <item x="8"/>
        <item x="9"/>
        <item x="10"/>
        <item x="11"/>
        <item t="default"/>
      </items>
    </pivotField>
    <pivotField showAll="0">
      <items count="3">
        <item h="1" x="0"/>
        <item x="1"/>
        <item t="default"/>
      </items>
    </pivotField>
    <pivotField axis="axisRow" showAll="0">
      <items count="21">
        <item x="11"/>
        <item x="13"/>
        <item x="0"/>
        <item x="2"/>
        <item x="5"/>
        <item x="14"/>
        <item x="19"/>
        <item x="15"/>
        <item x="1"/>
        <item x="17"/>
        <item x="7"/>
        <item x="3"/>
        <item x="4"/>
        <item x="6"/>
        <item x="10"/>
        <item x="12"/>
        <item x="16"/>
        <item x="9"/>
        <item x="18"/>
        <item x="8"/>
        <item t="default"/>
      </items>
    </pivotField>
    <pivotField showAll="0">
      <items count="13">
        <item x="11"/>
        <item x="8"/>
        <item x="1"/>
        <item x="0"/>
        <item x="7"/>
        <item x="2"/>
        <item x="3"/>
        <item x="6"/>
        <item x="9"/>
        <item x="5"/>
        <item x="10"/>
        <item x="4"/>
        <item t="default"/>
      </items>
    </pivotField>
    <pivotField showAll="0"/>
    <pivotField showAll="0"/>
    <pivotField showAll="0"/>
    <pivotField showAll="0"/>
    <pivotField dataField="1"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Rating (Out of 5)" fld="9" subtotal="average" baseField="3" baseItem="0" numFmtId="2"/>
  </dataFields>
  <chartFormats count="22">
    <chartFormat chart="0" format="1" series="1">
      <pivotArea type="data" outline="0" fieldPosition="0">
        <references count="1">
          <reference field="3" count="1" selected="0">
            <x v="0"/>
          </reference>
        </references>
      </pivotArea>
    </chartFormat>
    <chartFormat chart="0" format="2" series="1">
      <pivotArea type="data" outline="0" fieldPosition="0">
        <references count="1">
          <reference field="3" count="1" selected="0">
            <x v="1"/>
          </reference>
        </references>
      </pivotArea>
    </chartFormat>
    <chartFormat chart="0" format="3" series="1">
      <pivotArea type="data" outline="0" fieldPosition="0">
        <references count="1">
          <reference field="3" count="1" selected="0">
            <x v="2"/>
          </reference>
        </references>
      </pivotArea>
    </chartFormat>
    <chartFormat chart="0" format="4" series="1">
      <pivotArea type="data" outline="0" fieldPosition="0">
        <references count="1">
          <reference field="3" count="1" selected="0">
            <x v="3"/>
          </reference>
        </references>
      </pivotArea>
    </chartFormat>
    <chartFormat chart="0" format="5" series="1">
      <pivotArea type="data" outline="0" fieldPosition="0">
        <references count="1">
          <reference field="3" count="1" selected="0">
            <x v="4"/>
          </reference>
        </references>
      </pivotArea>
    </chartFormat>
    <chartFormat chart="0" format="6" series="1">
      <pivotArea type="data" outline="0" fieldPosition="0">
        <references count="1">
          <reference field="3" count="1" selected="0">
            <x v="5"/>
          </reference>
        </references>
      </pivotArea>
    </chartFormat>
    <chartFormat chart="0" format="7" series="1">
      <pivotArea type="data" outline="0" fieldPosition="0">
        <references count="1">
          <reference field="3" count="1" selected="0">
            <x v="6"/>
          </reference>
        </references>
      </pivotArea>
    </chartFormat>
    <chartFormat chart="0" format="8" series="1">
      <pivotArea type="data" outline="0" fieldPosition="0">
        <references count="1">
          <reference field="3" count="1" selected="0">
            <x v="7"/>
          </reference>
        </references>
      </pivotArea>
    </chartFormat>
    <chartFormat chart="0" format="9" series="1">
      <pivotArea type="data" outline="0" fieldPosition="0">
        <references count="1">
          <reference field="3" count="1" selected="0">
            <x v="8"/>
          </reference>
        </references>
      </pivotArea>
    </chartFormat>
    <chartFormat chart="0" format="10" series="1">
      <pivotArea type="data" outline="0" fieldPosition="0">
        <references count="1">
          <reference field="3" count="1" selected="0">
            <x v="9"/>
          </reference>
        </references>
      </pivotArea>
    </chartFormat>
    <chartFormat chart="0" format="11" series="1">
      <pivotArea type="data" outline="0" fieldPosition="0">
        <references count="1">
          <reference field="3" count="1" selected="0">
            <x v="10"/>
          </reference>
        </references>
      </pivotArea>
    </chartFormat>
    <chartFormat chart="0" format="12" series="1">
      <pivotArea type="data" outline="0" fieldPosition="0">
        <references count="1">
          <reference field="3" count="1" selected="0">
            <x v="11"/>
          </reference>
        </references>
      </pivotArea>
    </chartFormat>
    <chartFormat chart="0" format="13" series="1">
      <pivotArea type="data" outline="0" fieldPosition="0">
        <references count="1">
          <reference field="3" count="1" selected="0">
            <x v="12"/>
          </reference>
        </references>
      </pivotArea>
    </chartFormat>
    <chartFormat chart="0" format="14" series="1">
      <pivotArea type="data" outline="0" fieldPosition="0">
        <references count="1">
          <reference field="3" count="1" selected="0">
            <x v="13"/>
          </reference>
        </references>
      </pivotArea>
    </chartFormat>
    <chartFormat chart="0" format="15" series="1">
      <pivotArea type="data" outline="0" fieldPosition="0">
        <references count="1">
          <reference field="3" count="1" selected="0">
            <x v="14"/>
          </reference>
        </references>
      </pivotArea>
    </chartFormat>
    <chartFormat chart="0" format="16" series="1">
      <pivotArea type="data" outline="0" fieldPosition="0">
        <references count="1">
          <reference field="3" count="1" selected="0">
            <x v="15"/>
          </reference>
        </references>
      </pivotArea>
    </chartFormat>
    <chartFormat chart="0" format="17" series="1">
      <pivotArea type="data" outline="0" fieldPosition="0">
        <references count="1">
          <reference field="3" count="1" selected="0">
            <x v="16"/>
          </reference>
        </references>
      </pivotArea>
    </chartFormat>
    <chartFormat chart="0" format="18" series="1">
      <pivotArea type="data" outline="0" fieldPosition="0">
        <references count="1">
          <reference field="3" count="1" selected="0">
            <x v="17"/>
          </reference>
        </references>
      </pivotArea>
    </chartFormat>
    <chartFormat chart="0" format="19" series="1">
      <pivotArea type="data" outline="0" fieldPosition="0">
        <references count="1">
          <reference field="3" count="1" selected="0">
            <x v="18"/>
          </reference>
        </references>
      </pivotArea>
    </chartFormat>
    <chartFormat chart="0" format="20" series="1">
      <pivotArea type="data" outline="0" fieldPosition="0">
        <references count="1">
          <reference field="3" count="1" selected="0">
            <x v="19"/>
          </reference>
        </references>
      </pivotArea>
    </chartFormat>
    <chartFormat chart="0" format="21" series="1">
      <pivotArea type="data" outline="0" fieldPosition="0">
        <references count="1">
          <reference field="4294967294" count="1" selected="0">
            <x v="0"/>
          </reference>
        </references>
      </pivotArea>
    </chartFormat>
    <chartFormat chart="24"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D4C40A-236B-44A4-A039-E3F70291FC4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L6" firstHeaderRow="1" firstDataRow="2" firstDataCol="1"/>
  <pivotFields count="10">
    <pivotField showAll="0"/>
    <pivotField axis="axisCol" showAll="0">
      <items count="13">
        <item x="0"/>
        <item x="1"/>
        <item x="2"/>
        <item x="3"/>
        <item x="4"/>
        <item x="5"/>
        <item x="6"/>
        <item x="7"/>
        <item x="8"/>
        <item x="9"/>
        <item x="10"/>
        <item x="11"/>
        <item t="default"/>
      </items>
    </pivotField>
    <pivotField axis="axisRow" showAll="0">
      <items count="3">
        <item h="1" x="0"/>
        <item x="1"/>
        <item t="default"/>
      </items>
    </pivotField>
    <pivotField showAll="0">
      <items count="21">
        <item x="11"/>
        <item x="13"/>
        <item x="0"/>
        <item x="2"/>
        <item x="5"/>
        <item x="14"/>
        <item x="19"/>
        <item x="15"/>
        <item x="1"/>
        <item x="17"/>
        <item x="7"/>
        <item x="3"/>
        <item x="4"/>
        <item x="6"/>
        <item x="10"/>
        <item x="12"/>
        <item x="16"/>
        <item x="9"/>
        <item x="18"/>
        <item x="8"/>
        <item t="default"/>
      </items>
    </pivotField>
    <pivotField showAll="0">
      <items count="13">
        <item x="11"/>
        <item x="8"/>
        <item x="1"/>
        <item x="0"/>
        <item x="7"/>
        <item x="2"/>
        <item x="3"/>
        <item x="6"/>
        <item x="9"/>
        <item x="5"/>
        <item x="10"/>
        <item x="4"/>
        <item t="default"/>
      </items>
    </pivotField>
    <pivotField showAll="0"/>
    <pivotField dataField="1" showAll="0"/>
    <pivotField showAll="0"/>
    <pivotField showAll="0"/>
    <pivotField showAll="0"/>
  </pivotFields>
  <rowFields count="1">
    <field x="2"/>
  </rowFields>
  <rowItems count="2">
    <i>
      <x v="1"/>
    </i>
    <i t="grand">
      <x/>
    </i>
  </rowItems>
  <colFields count="1">
    <field x="1"/>
  </colFields>
  <colItems count="11">
    <i>
      <x/>
    </i>
    <i>
      <x v="1"/>
    </i>
    <i>
      <x v="2"/>
    </i>
    <i>
      <x v="3"/>
    </i>
    <i>
      <x v="4"/>
    </i>
    <i>
      <x v="5"/>
    </i>
    <i>
      <x v="6"/>
    </i>
    <i>
      <x v="7"/>
    </i>
    <i>
      <x v="8"/>
    </i>
    <i>
      <x v="9"/>
    </i>
    <i t="grand">
      <x/>
    </i>
  </colItems>
  <dataFields count="1">
    <dataField name="Sum of Growth %" fld="6" baseField="0" baseItem="0"/>
  </dataFields>
  <chartFormats count="7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0"/>
          </reference>
        </references>
      </pivotArea>
    </chartFormat>
    <chartFormat chart="14" format="49" series="1">
      <pivotArea type="data" outline="0" fieldPosition="0">
        <references count="2">
          <reference field="4294967294" count="1" selected="0">
            <x v="0"/>
          </reference>
          <reference field="1" count="1" selected="0">
            <x v="0"/>
          </reference>
        </references>
      </pivotArea>
    </chartFormat>
    <chartFormat chart="14" format="50">
      <pivotArea type="data" outline="0" fieldPosition="0">
        <references count="3">
          <reference field="4294967294" count="1" selected="0">
            <x v="0"/>
          </reference>
          <reference field="1" count="1" selected="0">
            <x v="0"/>
          </reference>
          <reference field="2" count="1" selected="0">
            <x v="0"/>
          </reference>
        </references>
      </pivotArea>
    </chartFormat>
    <chartFormat chart="14" format="51">
      <pivotArea type="data" outline="0" fieldPosition="0">
        <references count="3">
          <reference field="4294967294" count="1" selected="0">
            <x v="0"/>
          </reference>
          <reference field="1" count="1" selected="0">
            <x v="0"/>
          </reference>
          <reference field="2" count="1" selected="0">
            <x v="1"/>
          </reference>
        </references>
      </pivotArea>
    </chartFormat>
    <chartFormat chart="14" format="52" series="1">
      <pivotArea type="data" outline="0" fieldPosition="0">
        <references count="2">
          <reference field="4294967294" count="1" selected="0">
            <x v="0"/>
          </reference>
          <reference field="1" count="1" selected="0">
            <x v="1"/>
          </reference>
        </references>
      </pivotArea>
    </chartFormat>
    <chartFormat chart="14" format="53">
      <pivotArea type="data" outline="0" fieldPosition="0">
        <references count="3">
          <reference field="4294967294" count="1" selected="0">
            <x v="0"/>
          </reference>
          <reference field="1" count="1" selected="0">
            <x v="1"/>
          </reference>
          <reference field="2" count="1" selected="0">
            <x v="0"/>
          </reference>
        </references>
      </pivotArea>
    </chartFormat>
    <chartFormat chart="14" format="54">
      <pivotArea type="data" outline="0" fieldPosition="0">
        <references count="3">
          <reference field="4294967294" count="1" selected="0">
            <x v="0"/>
          </reference>
          <reference field="1" count="1" selected="0">
            <x v="1"/>
          </reference>
          <reference field="2" count="1" selected="0">
            <x v="1"/>
          </reference>
        </references>
      </pivotArea>
    </chartFormat>
    <chartFormat chart="14" format="55" series="1">
      <pivotArea type="data" outline="0" fieldPosition="0">
        <references count="2">
          <reference field="4294967294" count="1" selected="0">
            <x v="0"/>
          </reference>
          <reference field="1" count="1" selected="0">
            <x v="2"/>
          </reference>
        </references>
      </pivotArea>
    </chartFormat>
    <chartFormat chart="14" format="56">
      <pivotArea type="data" outline="0" fieldPosition="0">
        <references count="3">
          <reference field="4294967294" count="1" selected="0">
            <x v="0"/>
          </reference>
          <reference field="1" count="1" selected="0">
            <x v="2"/>
          </reference>
          <reference field="2" count="1" selected="0">
            <x v="0"/>
          </reference>
        </references>
      </pivotArea>
    </chartFormat>
    <chartFormat chart="14" format="57">
      <pivotArea type="data" outline="0" fieldPosition="0">
        <references count="3">
          <reference field="4294967294" count="1" selected="0">
            <x v="0"/>
          </reference>
          <reference field="1" count="1" selected="0">
            <x v="2"/>
          </reference>
          <reference field="2" count="1" selected="0">
            <x v="1"/>
          </reference>
        </references>
      </pivotArea>
    </chartFormat>
    <chartFormat chart="14" format="58" series="1">
      <pivotArea type="data" outline="0" fieldPosition="0">
        <references count="2">
          <reference field="4294967294" count="1" selected="0">
            <x v="0"/>
          </reference>
          <reference field="1" count="1" selected="0">
            <x v="3"/>
          </reference>
        </references>
      </pivotArea>
    </chartFormat>
    <chartFormat chart="14" format="59">
      <pivotArea type="data" outline="0" fieldPosition="0">
        <references count="3">
          <reference field="4294967294" count="1" selected="0">
            <x v="0"/>
          </reference>
          <reference field="1" count="1" selected="0">
            <x v="3"/>
          </reference>
          <reference field="2" count="1" selected="0">
            <x v="0"/>
          </reference>
        </references>
      </pivotArea>
    </chartFormat>
    <chartFormat chart="14" format="60">
      <pivotArea type="data" outline="0" fieldPosition="0">
        <references count="3">
          <reference field="4294967294" count="1" selected="0">
            <x v="0"/>
          </reference>
          <reference field="1" count="1" selected="0">
            <x v="3"/>
          </reference>
          <reference field="2" count="1" selected="0">
            <x v="1"/>
          </reference>
        </references>
      </pivotArea>
    </chartFormat>
    <chartFormat chart="14" format="61" series="1">
      <pivotArea type="data" outline="0" fieldPosition="0">
        <references count="2">
          <reference field="4294967294" count="1" selected="0">
            <x v="0"/>
          </reference>
          <reference field="1" count="1" selected="0">
            <x v="4"/>
          </reference>
        </references>
      </pivotArea>
    </chartFormat>
    <chartFormat chart="14" format="62">
      <pivotArea type="data" outline="0" fieldPosition="0">
        <references count="3">
          <reference field="4294967294" count="1" selected="0">
            <x v="0"/>
          </reference>
          <reference field="1" count="1" selected="0">
            <x v="4"/>
          </reference>
          <reference field="2" count="1" selected="0">
            <x v="0"/>
          </reference>
        </references>
      </pivotArea>
    </chartFormat>
    <chartFormat chart="14" format="63">
      <pivotArea type="data" outline="0" fieldPosition="0">
        <references count="3">
          <reference field="4294967294" count="1" selected="0">
            <x v="0"/>
          </reference>
          <reference field="1" count="1" selected="0">
            <x v="4"/>
          </reference>
          <reference field="2" count="1" selected="0">
            <x v="1"/>
          </reference>
        </references>
      </pivotArea>
    </chartFormat>
    <chartFormat chart="14" format="64" series="1">
      <pivotArea type="data" outline="0" fieldPosition="0">
        <references count="2">
          <reference field="4294967294" count="1" selected="0">
            <x v="0"/>
          </reference>
          <reference field="1" count="1" selected="0">
            <x v="5"/>
          </reference>
        </references>
      </pivotArea>
    </chartFormat>
    <chartFormat chart="14" format="65">
      <pivotArea type="data" outline="0" fieldPosition="0">
        <references count="3">
          <reference field="4294967294" count="1" selected="0">
            <x v="0"/>
          </reference>
          <reference field="1" count="1" selected="0">
            <x v="5"/>
          </reference>
          <reference field="2" count="1" selected="0">
            <x v="0"/>
          </reference>
        </references>
      </pivotArea>
    </chartFormat>
    <chartFormat chart="14" format="66">
      <pivotArea type="data" outline="0" fieldPosition="0">
        <references count="3">
          <reference field="4294967294" count="1" selected="0">
            <x v="0"/>
          </reference>
          <reference field="1" count="1" selected="0">
            <x v="5"/>
          </reference>
          <reference field="2" count="1" selected="0">
            <x v="1"/>
          </reference>
        </references>
      </pivotArea>
    </chartFormat>
    <chartFormat chart="14" format="67" series="1">
      <pivotArea type="data" outline="0" fieldPosition="0">
        <references count="2">
          <reference field="4294967294" count="1" selected="0">
            <x v="0"/>
          </reference>
          <reference field="1" count="1" selected="0">
            <x v="6"/>
          </reference>
        </references>
      </pivotArea>
    </chartFormat>
    <chartFormat chart="14" format="68">
      <pivotArea type="data" outline="0" fieldPosition="0">
        <references count="3">
          <reference field="4294967294" count="1" selected="0">
            <x v="0"/>
          </reference>
          <reference field="1" count="1" selected="0">
            <x v="6"/>
          </reference>
          <reference field="2" count="1" selected="0">
            <x v="0"/>
          </reference>
        </references>
      </pivotArea>
    </chartFormat>
    <chartFormat chart="14" format="69">
      <pivotArea type="data" outline="0" fieldPosition="0">
        <references count="3">
          <reference field="4294967294" count="1" selected="0">
            <x v="0"/>
          </reference>
          <reference field="1" count="1" selected="0">
            <x v="6"/>
          </reference>
          <reference field="2" count="1" selected="0">
            <x v="1"/>
          </reference>
        </references>
      </pivotArea>
    </chartFormat>
    <chartFormat chart="14" format="70" series="1">
      <pivotArea type="data" outline="0" fieldPosition="0">
        <references count="2">
          <reference field="4294967294" count="1" selected="0">
            <x v="0"/>
          </reference>
          <reference field="1" count="1" selected="0">
            <x v="7"/>
          </reference>
        </references>
      </pivotArea>
    </chartFormat>
    <chartFormat chart="14" format="71">
      <pivotArea type="data" outline="0" fieldPosition="0">
        <references count="3">
          <reference field="4294967294" count="1" selected="0">
            <x v="0"/>
          </reference>
          <reference field="1" count="1" selected="0">
            <x v="7"/>
          </reference>
          <reference field="2" count="1" selected="0">
            <x v="0"/>
          </reference>
        </references>
      </pivotArea>
    </chartFormat>
    <chartFormat chart="14" format="72">
      <pivotArea type="data" outline="0" fieldPosition="0">
        <references count="3">
          <reference field="4294967294" count="1" selected="0">
            <x v="0"/>
          </reference>
          <reference field="1" count="1" selected="0">
            <x v="7"/>
          </reference>
          <reference field="2" count="1" selected="0">
            <x v="1"/>
          </reference>
        </references>
      </pivotArea>
    </chartFormat>
    <chartFormat chart="14" format="73" series="1">
      <pivotArea type="data" outline="0" fieldPosition="0">
        <references count="2">
          <reference field="4294967294" count="1" selected="0">
            <x v="0"/>
          </reference>
          <reference field="1" count="1" selected="0">
            <x v="8"/>
          </reference>
        </references>
      </pivotArea>
    </chartFormat>
    <chartFormat chart="14" format="74">
      <pivotArea type="data" outline="0" fieldPosition="0">
        <references count="3">
          <reference field="4294967294" count="1" selected="0">
            <x v="0"/>
          </reference>
          <reference field="1" count="1" selected="0">
            <x v="8"/>
          </reference>
          <reference field="2" count="1" selected="0">
            <x v="0"/>
          </reference>
        </references>
      </pivotArea>
    </chartFormat>
    <chartFormat chart="14" format="75">
      <pivotArea type="data" outline="0" fieldPosition="0">
        <references count="3">
          <reference field="4294967294" count="1" selected="0">
            <x v="0"/>
          </reference>
          <reference field="1" count="1" selected="0">
            <x v="8"/>
          </reference>
          <reference field="2" count="1" selected="0">
            <x v="1"/>
          </reference>
        </references>
      </pivotArea>
    </chartFormat>
    <chartFormat chart="14" format="76" series="1">
      <pivotArea type="data" outline="0" fieldPosition="0">
        <references count="2">
          <reference field="4294967294" count="1" selected="0">
            <x v="0"/>
          </reference>
          <reference field="1" count="1" selected="0">
            <x v="9"/>
          </reference>
        </references>
      </pivotArea>
    </chartFormat>
    <chartFormat chart="14" format="77">
      <pivotArea type="data" outline="0" fieldPosition="0">
        <references count="3">
          <reference field="4294967294" count="1" selected="0">
            <x v="0"/>
          </reference>
          <reference field="1" count="1" selected="0">
            <x v="9"/>
          </reference>
          <reference field="2" count="1" selected="0">
            <x v="0"/>
          </reference>
        </references>
      </pivotArea>
    </chartFormat>
    <chartFormat chart="14" format="78">
      <pivotArea type="data" outline="0" fieldPosition="0">
        <references count="3">
          <reference field="4294967294" count="1" selected="0">
            <x v="0"/>
          </reference>
          <reference field="1" count="1" selected="0">
            <x v="9"/>
          </reference>
          <reference field="2" count="1" selected="0">
            <x v="1"/>
          </reference>
        </references>
      </pivotArea>
    </chartFormat>
    <chartFormat chart="14" format="79" series="1">
      <pivotArea type="data" outline="0" fieldPosition="0">
        <references count="2">
          <reference field="4294967294" count="1" selected="0">
            <x v="0"/>
          </reference>
          <reference field="1" count="1" selected="0">
            <x v="10"/>
          </reference>
        </references>
      </pivotArea>
    </chartFormat>
    <chartFormat chart="14" format="80">
      <pivotArea type="data" outline="0" fieldPosition="0">
        <references count="3">
          <reference field="4294967294" count="1" selected="0">
            <x v="0"/>
          </reference>
          <reference field="1" count="1" selected="0">
            <x v="10"/>
          </reference>
          <reference field="2" count="1" selected="0">
            <x v="0"/>
          </reference>
        </references>
      </pivotArea>
    </chartFormat>
    <chartFormat chart="14" format="81">
      <pivotArea type="data" outline="0" fieldPosition="0">
        <references count="3">
          <reference field="4294967294" count="1" selected="0">
            <x v="0"/>
          </reference>
          <reference field="1" count="1" selected="0">
            <x v="10"/>
          </reference>
          <reference field="2" count="1" selected="0">
            <x v="1"/>
          </reference>
        </references>
      </pivotArea>
    </chartFormat>
    <chartFormat chart="14" format="82" series="1">
      <pivotArea type="data" outline="0" fieldPosition="0">
        <references count="2">
          <reference field="4294967294" count="1" selected="0">
            <x v="0"/>
          </reference>
          <reference field="1" count="1" selected="0">
            <x v="11"/>
          </reference>
        </references>
      </pivotArea>
    </chartFormat>
    <chartFormat chart="14" format="83">
      <pivotArea type="data" outline="0" fieldPosition="0">
        <references count="3">
          <reference field="4294967294" count="1" selected="0">
            <x v="0"/>
          </reference>
          <reference field="1" count="1" selected="0">
            <x v="11"/>
          </reference>
          <reference field="2" count="1" selected="0">
            <x v="0"/>
          </reference>
        </references>
      </pivotArea>
    </chartFormat>
    <chartFormat chart="14" format="84">
      <pivotArea type="data" outline="0" fieldPosition="0">
        <references count="3">
          <reference field="4294967294" count="1" selected="0">
            <x v="0"/>
          </reference>
          <reference field="1" count="1" selected="0">
            <x v="11"/>
          </reference>
          <reference field="2" count="1" selected="0">
            <x v="1"/>
          </reference>
        </references>
      </pivotArea>
    </chartFormat>
    <chartFormat chart="14" format="85" series="1">
      <pivotArea type="data" outline="0" fieldPosition="0">
        <references count="1">
          <reference field="4294967294" count="1" selected="0">
            <x v="0"/>
          </reference>
        </references>
      </pivotArea>
    </chartFormat>
    <chartFormat chart="0" format="13">
      <pivotArea type="data" outline="0" fieldPosition="0">
        <references count="3">
          <reference field="4294967294" count="1" selected="0">
            <x v="0"/>
          </reference>
          <reference field="1" count="1" selected="0">
            <x v="0"/>
          </reference>
          <reference field="2" count="1" selected="0">
            <x v="0"/>
          </reference>
        </references>
      </pivotArea>
    </chartFormat>
    <chartFormat chart="0" format="14">
      <pivotArea type="data" outline="0" fieldPosition="0">
        <references count="3">
          <reference field="4294967294" count="1" selected="0">
            <x v="0"/>
          </reference>
          <reference field="1" count="1" selected="0">
            <x v="0"/>
          </reference>
          <reference field="2" count="1" selected="0">
            <x v="1"/>
          </reference>
        </references>
      </pivotArea>
    </chartFormat>
    <chartFormat chart="0" format="15">
      <pivotArea type="data" outline="0" fieldPosition="0">
        <references count="3">
          <reference field="4294967294" count="1" selected="0">
            <x v="0"/>
          </reference>
          <reference field="1" count="1" selected="0">
            <x v="1"/>
          </reference>
          <reference field="2" count="1" selected="0">
            <x v="0"/>
          </reference>
        </references>
      </pivotArea>
    </chartFormat>
    <chartFormat chart="0" format="16">
      <pivotArea type="data" outline="0" fieldPosition="0">
        <references count="3">
          <reference field="4294967294" count="1" selected="0">
            <x v="0"/>
          </reference>
          <reference field="1" count="1" selected="0">
            <x v="1"/>
          </reference>
          <reference field="2" count="1" selected="0">
            <x v="1"/>
          </reference>
        </references>
      </pivotArea>
    </chartFormat>
    <chartFormat chart="0" format="17">
      <pivotArea type="data" outline="0" fieldPosition="0">
        <references count="3">
          <reference field="4294967294" count="1" selected="0">
            <x v="0"/>
          </reference>
          <reference field="1" count="1" selected="0">
            <x v="2"/>
          </reference>
          <reference field="2" count="1" selected="0">
            <x v="0"/>
          </reference>
        </references>
      </pivotArea>
    </chartFormat>
    <chartFormat chart="0" format="18">
      <pivotArea type="data" outline="0" fieldPosition="0">
        <references count="3">
          <reference field="4294967294" count="1" selected="0">
            <x v="0"/>
          </reference>
          <reference field="1" count="1" selected="0">
            <x v="2"/>
          </reference>
          <reference field="2" count="1" selected="0">
            <x v="1"/>
          </reference>
        </references>
      </pivotArea>
    </chartFormat>
    <chartFormat chart="0" format="19">
      <pivotArea type="data" outline="0" fieldPosition="0">
        <references count="3">
          <reference field="4294967294" count="1" selected="0">
            <x v="0"/>
          </reference>
          <reference field="1" count="1" selected="0">
            <x v="3"/>
          </reference>
          <reference field="2" count="1" selected="0">
            <x v="0"/>
          </reference>
        </references>
      </pivotArea>
    </chartFormat>
    <chartFormat chart="0" format="20">
      <pivotArea type="data" outline="0" fieldPosition="0">
        <references count="3">
          <reference field="4294967294" count="1" selected="0">
            <x v="0"/>
          </reference>
          <reference field="1" count="1" selected="0">
            <x v="3"/>
          </reference>
          <reference field="2" count="1" selected="0">
            <x v="1"/>
          </reference>
        </references>
      </pivotArea>
    </chartFormat>
    <chartFormat chart="0" format="21">
      <pivotArea type="data" outline="0" fieldPosition="0">
        <references count="3">
          <reference field="4294967294" count="1" selected="0">
            <x v="0"/>
          </reference>
          <reference field="1" count="1" selected="0">
            <x v="4"/>
          </reference>
          <reference field="2" count="1" selected="0">
            <x v="0"/>
          </reference>
        </references>
      </pivotArea>
    </chartFormat>
    <chartFormat chart="0" format="22">
      <pivotArea type="data" outline="0" fieldPosition="0">
        <references count="3">
          <reference field="4294967294" count="1" selected="0">
            <x v="0"/>
          </reference>
          <reference field="1" count="1" selected="0">
            <x v="4"/>
          </reference>
          <reference field="2" count="1" selected="0">
            <x v="1"/>
          </reference>
        </references>
      </pivotArea>
    </chartFormat>
    <chartFormat chart="0" format="23">
      <pivotArea type="data" outline="0" fieldPosition="0">
        <references count="3">
          <reference field="4294967294" count="1" selected="0">
            <x v="0"/>
          </reference>
          <reference field="1" count="1" selected="0">
            <x v="5"/>
          </reference>
          <reference field="2" count="1" selected="0">
            <x v="0"/>
          </reference>
        </references>
      </pivotArea>
    </chartFormat>
    <chartFormat chart="0" format="24">
      <pivotArea type="data" outline="0" fieldPosition="0">
        <references count="3">
          <reference field="4294967294" count="1" selected="0">
            <x v="0"/>
          </reference>
          <reference field="1" count="1" selected="0">
            <x v="5"/>
          </reference>
          <reference field="2" count="1" selected="0">
            <x v="1"/>
          </reference>
        </references>
      </pivotArea>
    </chartFormat>
    <chartFormat chart="0" format="25">
      <pivotArea type="data" outline="0" fieldPosition="0">
        <references count="3">
          <reference field="4294967294" count="1" selected="0">
            <x v="0"/>
          </reference>
          <reference field="1" count="1" selected="0">
            <x v="6"/>
          </reference>
          <reference field="2" count="1" selected="0">
            <x v="0"/>
          </reference>
        </references>
      </pivotArea>
    </chartFormat>
    <chartFormat chart="0" format="26">
      <pivotArea type="data" outline="0" fieldPosition="0">
        <references count="3">
          <reference field="4294967294" count="1" selected="0">
            <x v="0"/>
          </reference>
          <reference field="1" count="1" selected="0">
            <x v="6"/>
          </reference>
          <reference field="2" count="1" selected="0">
            <x v="1"/>
          </reference>
        </references>
      </pivotArea>
    </chartFormat>
    <chartFormat chart="0" format="27">
      <pivotArea type="data" outline="0" fieldPosition="0">
        <references count="3">
          <reference field="4294967294" count="1" selected="0">
            <x v="0"/>
          </reference>
          <reference field="1" count="1" selected="0">
            <x v="7"/>
          </reference>
          <reference field="2" count="1" selected="0">
            <x v="0"/>
          </reference>
        </references>
      </pivotArea>
    </chartFormat>
    <chartFormat chart="0" format="28">
      <pivotArea type="data" outline="0" fieldPosition="0">
        <references count="3">
          <reference field="4294967294" count="1" selected="0">
            <x v="0"/>
          </reference>
          <reference field="1" count="1" selected="0">
            <x v="7"/>
          </reference>
          <reference field="2" count="1" selected="0">
            <x v="1"/>
          </reference>
        </references>
      </pivotArea>
    </chartFormat>
    <chartFormat chart="0" format="29">
      <pivotArea type="data" outline="0" fieldPosition="0">
        <references count="3">
          <reference field="4294967294" count="1" selected="0">
            <x v="0"/>
          </reference>
          <reference field="1" count="1" selected="0">
            <x v="8"/>
          </reference>
          <reference field="2" count="1" selected="0">
            <x v="0"/>
          </reference>
        </references>
      </pivotArea>
    </chartFormat>
    <chartFormat chart="0" format="30">
      <pivotArea type="data" outline="0" fieldPosition="0">
        <references count="3">
          <reference field="4294967294" count="1" selected="0">
            <x v="0"/>
          </reference>
          <reference field="1" count="1" selected="0">
            <x v="8"/>
          </reference>
          <reference field="2" count="1" selected="0">
            <x v="1"/>
          </reference>
        </references>
      </pivotArea>
    </chartFormat>
    <chartFormat chart="0" format="31">
      <pivotArea type="data" outline="0" fieldPosition="0">
        <references count="3">
          <reference field="4294967294" count="1" selected="0">
            <x v="0"/>
          </reference>
          <reference field="1" count="1" selected="0">
            <x v="9"/>
          </reference>
          <reference field="2" count="1" selected="0">
            <x v="0"/>
          </reference>
        </references>
      </pivotArea>
    </chartFormat>
    <chartFormat chart="0" format="32">
      <pivotArea type="data" outline="0" fieldPosition="0">
        <references count="3">
          <reference field="4294967294" count="1" selected="0">
            <x v="0"/>
          </reference>
          <reference field="1" count="1" selected="0">
            <x v="9"/>
          </reference>
          <reference field="2" count="1" selected="0">
            <x v="1"/>
          </reference>
        </references>
      </pivotArea>
    </chartFormat>
    <chartFormat chart="0" format="33">
      <pivotArea type="data" outline="0" fieldPosition="0">
        <references count="3">
          <reference field="4294967294" count="1" selected="0">
            <x v="0"/>
          </reference>
          <reference field="1" count="1" selected="0">
            <x v="10"/>
          </reference>
          <reference field="2" count="1" selected="0">
            <x v="0"/>
          </reference>
        </references>
      </pivotArea>
    </chartFormat>
    <chartFormat chart="0" format="34">
      <pivotArea type="data" outline="0" fieldPosition="0">
        <references count="3">
          <reference field="4294967294" count="1" selected="0">
            <x v="0"/>
          </reference>
          <reference field="1" count="1" selected="0">
            <x v="10"/>
          </reference>
          <reference field="2" count="1" selected="0">
            <x v="1"/>
          </reference>
        </references>
      </pivotArea>
    </chartFormat>
    <chartFormat chart="0" format="35">
      <pivotArea type="data" outline="0" fieldPosition="0">
        <references count="3">
          <reference field="4294967294" count="1" selected="0">
            <x v="0"/>
          </reference>
          <reference field="1" count="1" selected="0">
            <x v="11"/>
          </reference>
          <reference field="2" count="1" selected="0">
            <x v="0"/>
          </reference>
        </references>
      </pivotArea>
    </chartFormat>
    <chartFormat chart="0" format="36">
      <pivotArea type="data" outline="0" fieldPosition="0">
        <references count="3">
          <reference field="4294967294" count="1" selected="0">
            <x v="0"/>
          </reference>
          <reference field="1" count="1" selected="0">
            <x v="1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453FD9-2842-4026-999A-3809D390E5FE}"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0">
    <pivotField showAll="0"/>
    <pivotField showAll="0">
      <items count="13">
        <item x="0"/>
        <item x="1"/>
        <item x="2"/>
        <item x="3"/>
        <item x="4"/>
        <item x="5"/>
        <item x="6"/>
        <item x="7"/>
        <item x="8"/>
        <item x="9"/>
        <item x="10"/>
        <item x="11"/>
        <item t="default"/>
      </items>
    </pivotField>
    <pivotField showAll="0">
      <items count="3">
        <item h="1" x="0"/>
        <item x="1"/>
        <item t="default"/>
      </items>
    </pivotField>
    <pivotField showAll="0">
      <items count="21">
        <item x="11"/>
        <item x="13"/>
        <item x="0"/>
        <item x="2"/>
        <item x="5"/>
        <item x="14"/>
        <item x="19"/>
        <item x="15"/>
        <item x="1"/>
        <item x="17"/>
        <item x="7"/>
        <item x="3"/>
        <item x="4"/>
        <item x="6"/>
        <item x="10"/>
        <item x="12"/>
        <item x="16"/>
        <item x="9"/>
        <item x="18"/>
        <item x="8"/>
        <item t="default"/>
      </items>
    </pivotField>
    <pivotField showAll="0">
      <items count="13">
        <item x="11"/>
        <item x="8"/>
        <item x="1"/>
        <item x="0"/>
        <item x="7"/>
        <item x="2"/>
        <item x="3"/>
        <item x="6"/>
        <item x="9"/>
        <item x="5"/>
        <item x="10"/>
        <item x="4"/>
        <item t="default"/>
      </items>
    </pivotField>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Sum of Active Users (Millions)" fld="5" baseField="0" baseItem="0" numFmtId="1"/>
    <dataField name="Sum of Growth %" fld="6" baseField="0" baseItem="0" numFmtId="9"/>
    <dataField name="Sum of Website Visits (Millions)" fld="8" baseField="0" baseItem="0"/>
    <dataField name="Average of Rating (Out of 5)" fld="9" subtotal="average" baseField="0" baseItem="0" numFmtId="2"/>
    <dataField name="Sum of Social Mention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Tool_Name" xr10:uid="{734907AF-846C-45F4-82E0-D7A72F97521B}" sourceName="AI Tool Name">
  <pivotTables>
    <pivotTable tabId="6" name="PivotTable5"/>
    <pivotTable tabId="11" name="PivotTable2"/>
    <pivotTable tabId="4" name="PivotTable3"/>
    <pivotTable tabId="3" name="PivotTable2"/>
    <pivotTable tabId="2" name="PivotTable1"/>
    <pivotTable tabId="5" name="PivotTable4"/>
    <pivotTable tabId="9" name="PivotTable1"/>
  </pivotTables>
  <data>
    <tabular pivotCacheId="1816553936">
      <items count="20">
        <i x="11" s="1"/>
        <i x="13" s="1"/>
        <i x="0" s="1"/>
        <i x="2" s="1"/>
        <i x="5" s="1"/>
        <i x="14" s="1"/>
        <i x="19" s="1"/>
        <i x="15" s="1"/>
        <i x="1" s="1"/>
        <i x="17" s="1"/>
        <i x="7" s="1"/>
        <i x="3" s="1"/>
        <i x="4" s="1"/>
        <i x="6" s="1"/>
        <i x="10" s="1"/>
        <i x="12" s="1"/>
        <i x="16" s="1"/>
        <i x="9" s="1"/>
        <i x="18" s="1"/>
        <i x="8"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1247CBA-67DF-4E2D-834F-F4F0F0535FC2}" sourceName="Month">
  <pivotTables>
    <pivotTable tabId="4" name="PivotTable3"/>
    <pivotTable tabId="6" name="PivotTable5"/>
    <pivotTable tabId="11" name="PivotTable2"/>
    <pivotTable tabId="3" name="PivotTable2"/>
    <pivotTable tabId="2" name="PivotTable1"/>
    <pivotTable tabId="5" name="PivotTable4"/>
    <pivotTable tabId="9" name="PivotTable1"/>
  </pivotTables>
  <data>
    <tabular pivotCacheId="1816553936">
      <items count="12">
        <i x="0" s="1"/>
        <i x="1" s="1"/>
        <i x="2" s="1"/>
        <i x="3" s="1"/>
        <i x="4" s="1"/>
        <i x="5" s="1"/>
        <i x="6" s="1"/>
        <i x="7" s="1"/>
        <i x="8" s="1"/>
        <i x="9" s="1"/>
        <i x="10"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A77BBA-E030-4957-A610-F4F394F9FB18}" sourceName="Category">
  <pivotTables>
    <pivotTable tabId="3" name="PivotTable2"/>
    <pivotTable tabId="6" name="PivotTable5"/>
    <pivotTable tabId="11" name="PivotTable2"/>
    <pivotTable tabId="4" name="PivotTable3"/>
    <pivotTable tabId="2" name="PivotTable1"/>
    <pivotTable tabId="5" name="PivotTable4"/>
    <pivotTable tabId="9" name="PivotTable1"/>
  </pivotTables>
  <data>
    <tabular pivotCacheId="1816553936">
      <items count="12">
        <i x="11" s="1"/>
        <i x="8" s="1"/>
        <i x="1" s="1"/>
        <i x="0" s="1"/>
        <i x="7" s="1"/>
        <i x="2" s="1"/>
        <i x="3" s="1"/>
        <i x="6" s="1"/>
        <i x="9" s="1"/>
        <i x="5" s="1"/>
        <i x="1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8664AD6-99CF-407E-8887-F3D5E7C13054}" sourceName="Year">
  <pivotTables>
    <pivotTable tabId="9" name="PivotTable1"/>
    <pivotTable tabId="6" name="PivotTable5"/>
    <pivotTable tabId="11" name="PivotTable2"/>
    <pivotTable tabId="4" name="PivotTable3"/>
    <pivotTable tabId="3" name="PivotTable2"/>
    <pivotTable tabId="2" name="PivotTable1"/>
    <pivotTable tabId="5" name="PivotTable4"/>
  </pivotTables>
  <data>
    <tabular pivotCacheId="1816553936">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 Tool Name" xr10:uid="{E525FF0D-9DB7-4D57-B6B6-91153D00C0F2}" cache="Slicer_AI_Tool_Name" caption="AI Tool Name"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F4AB189-CC2E-4DE0-B5AC-54265933357A}" cache="Slicer_Month" caption="Month" style="SlicerStyleDark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D6761A6-D704-403F-8384-BC7C1EE66D24}" cache="Slicer_Category" caption="Category" style="SlicerStyleDark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5D909ED-368C-4923-AF69-D7416074FA2C}" cache="Slicer_Year" caption="Year" style="SlicerStyleDark4"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 Tool Name 1" xr10:uid="{311025A4-079D-4640-805B-156674D6484F}" cache="Slicer_AI_Tool_Name" caption="AI Tool Name" style="SlicerStyleLight4" rowHeight="234950"/>
  <slicer name="Month 1" xr10:uid="{6D90CA4D-A36E-4412-828A-F755AC29DA7D}" cache="Slicer_Month" caption="Month" style="SlicerStyleLight4" rowHeight="234950"/>
  <slicer name="Category 1" xr10:uid="{7F00D45A-CD78-4D69-886D-511D75948E6E}" cache="Slicer_Category" caption="Category" style="SlicerStyleLight4" rowHeight="234950"/>
  <slicer name="Year 1" xr10:uid="{81C9FE63-9877-432F-AECD-53D3CC9AF9D6}" cache="Slicer_Year" caption="Year" style="SlicerStyleLight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F27FD-3B04-4E83-8FB4-B476E7FD790D}">
  <sheetPr codeName="Sheet1"/>
  <dimension ref="A3:L25"/>
  <sheetViews>
    <sheetView zoomScale="81" zoomScaleNormal="100" workbookViewId="0">
      <selection activeCell="Q14" sqref="Q14"/>
    </sheetView>
  </sheetViews>
  <sheetFormatPr defaultRowHeight="14.4" x14ac:dyDescent="0.3"/>
  <cols>
    <col min="1" max="1" width="27.109375" bestFit="1" customWidth="1"/>
    <col min="2" max="2" width="16.109375" bestFit="1" customWidth="1"/>
    <col min="3" max="11" width="5" bestFit="1" customWidth="1"/>
    <col min="12" max="12" width="10.77734375" bestFit="1" customWidth="1"/>
    <col min="13" max="13" width="4.109375" bestFit="1" customWidth="1"/>
    <col min="14" max="14" width="10.77734375" bestFit="1" customWidth="1"/>
    <col min="15" max="20" width="17.88671875" bestFit="1" customWidth="1"/>
    <col min="21" max="21" width="10.77734375" bestFit="1" customWidth="1"/>
  </cols>
  <sheetData>
    <row r="3" spans="1:12" x14ac:dyDescent="0.3">
      <c r="A3" s="1" t="s">
        <v>57</v>
      </c>
      <c r="B3" s="1" t="s">
        <v>58</v>
      </c>
    </row>
    <row r="4" spans="1:12" x14ac:dyDescent="0.3">
      <c r="A4" s="1" t="s">
        <v>54</v>
      </c>
      <c r="B4" t="s">
        <v>10</v>
      </c>
      <c r="C4" t="s">
        <v>11</v>
      </c>
      <c r="D4" t="s">
        <v>12</v>
      </c>
      <c r="E4" t="s">
        <v>13</v>
      </c>
      <c r="F4" t="s">
        <v>14</v>
      </c>
      <c r="G4" t="s">
        <v>15</v>
      </c>
      <c r="H4" t="s">
        <v>16</v>
      </c>
      <c r="I4" t="s">
        <v>17</v>
      </c>
      <c r="J4" t="s">
        <v>18</v>
      </c>
      <c r="K4" t="s">
        <v>19</v>
      </c>
      <c r="L4" t="s">
        <v>55</v>
      </c>
    </row>
    <row r="5" spans="1:12" x14ac:dyDescent="0.3">
      <c r="A5" s="2" t="s">
        <v>33</v>
      </c>
      <c r="B5">
        <v>11</v>
      </c>
      <c r="C5">
        <v>11</v>
      </c>
      <c r="D5">
        <v>11</v>
      </c>
      <c r="E5">
        <v>11</v>
      </c>
      <c r="F5">
        <v>11</v>
      </c>
      <c r="G5">
        <v>11</v>
      </c>
      <c r="H5">
        <v>11</v>
      </c>
      <c r="I5">
        <v>11</v>
      </c>
      <c r="J5">
        <v>11</v>
      </c>
      <c r="K5">
        <v>11</v>
      </c>
      <c r="L5">
        <v>110</v>
      </c>
    </row>
    <row r="6" spans="1:12" x14ac:dyDescent="0.3">
      <c r="A6" s="2" t="s">
        <v>35</v>
      </c>
      <c r="B6">
        <v>58</v>
      </c>
      <c r="C6">
        <v>58</v>
      </c>
      <c r="D6">
        <v>58</v>
      </c>
      <c r="E6">
        <v>58</v>
      </c>
      <c r="F6">
        <v>58</v>
      </c>
      <c r="G6">
        <v>58</v>
      </c>
      <c r="H6">
        <v>58</v>
      </c>
      <c r="I6">
        <v>58</v>
      </c>
      <c r="J6">
        <v>58</v>
      </c>
      <c r="K6">
        <v>58</v>
      </c>
      <c r="L6">
        <v>580</v>
      </c>
    </row>
    <row r="7" spans="1:12" x14ac:dyDescent="0.3">
      <c r="A7" s="2" t="s">
        <v>22</v>
      </c>
      <c r="B7">
        <v>20</v>
      </c>
      <c r="C7">
        <v>20</v>
      </c>
      <c r="D7">
        <v>20</v>
      </c>
      <c r="E7">
        <v>20</v>
      </c>
      <c r="F7">
        <v>20</v>
      </c>
      <c r="G7">
        <v>20</v>
      </c>
      <c r="H7">
        <v>20</v>
      </c>
      <c r="I7">
        <v>20</v>
      </c>
      <c r="J7">
        <v>20</v>
      </c>
      <c r="K7">
        <v>20</v>
      </c>
      <c r="L7">
        <v>200</v>
      </c>
    </row>
    <row r="8" spans="1:12" x14ac:dyDescent="0.3">
      <c r="A8" s="2" t="s">
        <v>24</v>
      </c>
      <c r="B8">
        <v>77</v>
      </c>
      <c r="C8">
        <v>77</v>
      </c>
      <c r="D8">
        <v>77</v>
      </c>
      <c r="E8">
        <v>77</v>
      </c>
      <c r="F8">
        <v>77</v>
      </c>
      <c r="G8">
        <v>77</v>
      </c>
      <c r="H8">
        <v>77</v>
      </c>
      <c r="I8">
        <v>77</v>
      </c>
      <c r="J8">
        <v>77</v>
      </c>
      <c r="K8">
        <v>77</v>
      </c>
      <c r="L8">
        <v>770</v>
      </c>
    </row>
    <row r="9" spans="1:12" x14ac:dyDescent="0.3">
      <c r="A9" s="2" t="s">
        <v>27</v>
      </c>
      <c r="B9">
        <v>174</v>
      </c>
      <c r="C9">
        <v>174</v>
      </c>
      <c r="D9">
        <v>174</v>
      </c>
      <c r="E9">
        <v>174</v>
      </c>
      <c r="F9">
        <v>174</v>
      </c>
      <c r="G9">
        <v>174</v>
      </c>
      <c r="H9">
        <v>174</v>
      </c>
      <c r="I9">
        <v>174</v>
      </c>
      <c r="J9">
        <v>174</v>
      </c>
      <c r="K9">
        <v>174</v>
      </c>
      <c r="L9">
        <v>1740</v>
      </c>
    </row>
    <row r="10" spans="1:12" x14ac:dyDescent="0.3">
      <c r="A10" s="2" t="s">
        <v>36</v>
      </c>
      <c r="B10">
        <v>131</v>
      </c>
      <c r="C10">
        <v>131</v>
      </c>
      <c r="D10">
        <v>131</v>
      </c>
      <c r="E10">
        <v>131</v>
      </c>
      <c r="F10">
        <v>131</v>
      </c>
      <c r="G10">
        <v>131</v>
      </c>
      <c r="H10">
        <v>131</v>
      </c>
      <c r="I10">
        <v>131</v>
      </c>
      <c r="J10">
        <v>131</v>
      </c>
      <c r="K10">
        <v>131</v>
      </c>
      <c r="L10">
        <v>1310</v>
      </c>
    </row>
    <row r="11" spans="1:12" x14ac:dyDescent="0.3">
      <c r="A11" s="2" t="s">
        <v>41</v>
      </c>
      <c r="B11">
        <v>14</v>
      </c>
      <c r="C11">
        <v>14</v>
      </c>
      <c r="D11">
        <v>14</v>
      </c>
      <c r="E11">
        <v>14</v>
      </c>
      <c r="F11">
        <v>14</v>
      </c>
      <c r="G11">
        <v>14</v>
      </c>
      <c r="H11">
        <v>14</v>
      </c>
      <c r="I11">
        <v>14</v>
      </c>
      <c r="J11">
        <v>14</v>
      </c>
      <c r="K11">
        <v>14</v>
      </c>
      <c r="L11">
        <v>140</v>
      </c>
    </row>
    <row r="12" spans="1:12" x14ac:dyDescent="0.3">
      <c r="A12" s="2" t="s">
        <v>37</v>
      </c>
      <c r="B12">
        <v>79</v>
      </c>
      <c r="C12">
        <v>79</v>
      </c>
      <c r="D12">
        <v>79</v>
      </c>
      <c r="E12">
        <v>79</v>
      </c>
      <c r="F12">
        <v>79</v>
      </c>
      <c r="G12">
        <v>79</v>
      </c>
      <c r="H12">
        <v>79</v>
      </c>
      <c r="I12">
        <v>79</v>
      </c>
      <c r="J12">
        <v>79</v>
      </c>
      <c r="K12">
        <v>79</v>
      </c>
      <c r="L12">
        <v>790</v>
      </c>
    </row>
    <row r="13" spans="1:12" x14ac:dyDescent="0.3">
      <c r="A13" s="2" t="s">
        <v>23</v>
      </c>
      <c r="B13">
        <v>67</v>
      </c>
      <c r="C13">
        <v>67</v>
      </c>
      <c r="D13">
        <v>67</v>
      </c>
      <c r="E13">
        <v>67</v>
      </c>
      <c r="F13">
        <v>67</v>
      </c>
      <c r="G13">
        <v>67</v>
      </c>
      <c r="H13">
        <v>67</v>
      </c>
      <c r="I13">
        <v>67</v>
      </c>
      <c r="J13">
        <v>67</v>
      </c>
      <c r="K13">
        <v>67</v>
      </c>
      <c r="L13">
        <v>670</v>
      </c>
    </row>
    <row r="14" spans="1:12" x14ac:dyDescent="0.3">
      <c r="A14" s="2" t="s">
        <v>39</v>
      </c>
      <c r="B14">
        <v>167</v>
      </c>
      <c r="C14">
        <v>167</v>
      </c>
      <c r="D14">
        <v>167</v>
      </c>
      <c r="E14">
        <v>167</v>
      </c>
      <c r="F14">
        <v>167</v>
      </c>
      <c r="G14">
        <v>167</v>
      </c>
      <c r="H14">
        <v>167</v>
      </c>
      <c r="I14">
        <v>167</v>
      </c>
      <c r="J14">
        <v>167</v>
      </c>
      <c r="K14">
        <v>167</v>
      </c>
      <c r="L14">
        <v>1670</v>
      </c>
    </row>
    <row r="15" spans="1:12" x14ac:dyDescent="0.3">
      <c r="A15" s="2" t="s">
        <v>29</v>
      </c>
      <c r="B15">
        <v>68</v>
      </c>
      <c r="C15">
        <v>68</v>
      </c>
      <c r="D15">
        <v>68</v>
      </c>
      <c r="E15">
        <v>68</v>
      </c>
      <c r="F15">
        <v>68</v>
      </c>
      <c r="G15">
        <v>68</v>
      </c>
      <c r="H15">
        <v>68</v>
      </c>
      <c r="I15">
        <v>68</v>
      </c>
      <c r="J15">
        <v>68</v>
      </c>
      <c r="K15">
        <v>68</v>
      </c>
      <c r="L15">
        <v>680</v>
      </c>
    </row>
    <row r="16" spans="1:12" x14ac:dyDescent="0.3">
      <c r="A16" s="2" t="s">
        <v>25</v>
      </c>
      <c r="B16">
        <v>24</v>
      </c>
      <c r="C16">
        <v>24</v>
      </c>
      <c r="D16">
        <v>24</v>
      </c>
      <c r="E16">
        <v>24</v>
      </c>
      <c r="F16">
        <v>24</v>
      </c>
      <c r="G16">
        <v>24</v>
      </c>
      <c r="H16">
        <v>24</v>
      </c>
      <c r="I16">
        <v>24</v>
      </c>
      <c r="J16">
        <v>24</v>
      </c>
      <c r="K16">
        <v>24</v>
      </c>
      <c r="L16">
        <v>240</v>
      </c>
    </row>
    <row r="17" spans="1:12" x14ac:dyDescent="0.3">
      <c r="A17" s="2" t="s">
        <v>26</v>
      </c>
      <c r="B17">
        <v>172</v>
      </c>
      <c r="C17">
        <v>172</v>
      </c>
      <c r="D17">
        <v>172</v>
      </c>
      <c r="E17">
        <v>172</v>
      </c>
      <c r="F17">
        <v>172</v>
      </c>
      <c r="G17">
        <v>172</v>
      </c>
      <c r="H17">
        <v>172</v>
      </c>
      <c r="I17">
        <v>172</v>
      </c>
      <c r="J17">
        <v>172</v>
      </c>
      <c r="K17">
        <v>172</v>
      </c>
      <c r="L17">
        <v>1720</v>
      </c>
    </row>
    <row r="18" spans="1:12" x14ac:dyDescent="0.3">
      <c r="A18" s="2" t="s">
        <v>28</v>
      </c>
      <c r="B18">
        <v>84</v>
      </c>
      <c r="C18">
        <v>84</v>
      </c>
      <c r="D18">
        <v>84</v>
      </c>
      <c r="E18">
        <v>84</v>
      </c>
      <c r="F18">
        <v>84</v>
      </c>
      <c r="G18">
        <v>84</v>
      </c>
      <c r="H18">
        <v>84</v>
      </c>
      <c r="I18">
        <v>84</v>
      </c>
      <c r="J18">
        <v>84</v>
      </c>
      <c r="K18">
        <v>84</v>
      </c>
      <c r="L18">
        <v>840</v>
      </c>
    </row>
    <row r="19" spans="1:12" x14ac:dyDescent="0.3">
      <c r="A19" s="2" t="s">
        <v>32</v>
      </c>
      <c r="B19">
        <v>38</v>
      </c>
      <c r="C19">
        <v>38</v>
      </c>
      <c r="D19">
        <v>38</v>
      </c>
      <c r="E19">
        <v>38</v>
      </c>
      <c r="F19">
        <v>38</v>
      </c>
      <c r="G19">
        <v>38</v>
      </c>
      <c r="H19">
        <v>38</v>
      </c>
      <c r="I19">
        <v>38</v>
      </c>
      <c r="J19">
        <v>38</v>
      </c>
      <c r="K19">
        <v>38</v>
      </c>
      <c r="L19">
        <v>380</v>
      </c>
    </row>
    <row r="20" spans="1:12" x14ac:dyDescent="0.3">
      <c r="A20" s="2" t="s">
        <v>34</v>
      </c>
      <c r="B20">
        <v>133</v>
      </c>
      <c r="C20">
        <v>133</v>
      </c>
      <c r="D20">
        <v>133</v>
      </c>
      <c r="E20">
        <v>133</v>
      </c>
      <c r="F20">
        <v>133</v>
      </c>
      <c r="G20">
        <v>133</v>
      </c>
      <c r="H20">
        <v>133</v>
      </c>
      <c r="I20">
        <v>133</v>
      </c>
      <c r="J20">
        <v>133</v>
      </c>
      <c r="K20">
        <v>133</v>
      </c>
      <c r="L20">
        <v>1330</v>
      </c>
    </row>
    <row r="21" spans="1:12" x14ac:dyDescent="0.3">
      <c r="A21" s="2" t="s">
        <v>38</v>
      </c>
      <c r="B21">
        <v>110</v>
      </c>
      <c r="C21">
        <v>110</v>
      </c>
      <c r="D21">
        <v>110</v>
      </c>
      <c r="E21">
        <v>110</v>
      </c>
      <c r="F21">
        <v>110</v>
      </c>
      <c r="G21">
        <v>110</v>
      </c>
      <c r="H21">
        <v>110</v>
      </c>
      <c r="I21">
        <v>110</v>
      </c>
      <c r="J21">
        <v>110</v>
      </c>
      <c r="K21">
        <v>110</v>
      </c>
      <c r="L21">
        <v>1100</v>
      </c>
    </row>
    <row r="22" spans="1:12" x14ac:dyDescent="0.3">
      <c r="A22" s="2" t="s">
        <v>31</v>
      </c>
      <c r="B22">
        <v>154</v>
      </c>
      <c r="C22">
        <v>154</v>
      </c>
      <c r="D22">
        <v>154</v>
      </c>
      <c r="E22">
        <v>154</v>
      </c>
      <c r="F22">
        <v>154</v>
      </c>
      <c r="G22">
        <v>154</v>
      </c>
      <c r="H22">
        <v>154</v>
      </c>
      <c r="I22">
        <v>154</v>
      </c>
      <c r="J22">
        <v>154</v>
      </c>
      <c r="K22">
        <v>154</v>
      </c>
      <c r="L22">
        <v>1540</v>
      </c>
    </row>
    <row r="23" spans="1:12" x14ac:dyDescent="0.3">
      <c r="A23" s="2" t="s">
        <v>40</v>
      </c>
      <c r="B23">
        <v>100</v>
      </c>
      <c r="C23">
        <v>100</v>
      </c>
      <c r="D23">
        <v>100</v>
      </c>
      <c r="E23">
        <v>100</v>
      </c>
      <c r="F23">
        <v>100</v>
      </c>
      <c r="G23">
        <v>100</v>
      </c>
      <c r="H23">
        <v>100</v>
      </c>
      <c r="I23">
        <v>100</v>
      </c>
      <c r="J23">
        <v>100</v>
      </c>
      <c r="K23">
        <v>100</v>
      </c>
      <c r="L23">
        <v>1000</v>
      </c>
    </row>
    <row r="24" spans="1:12" x14ac:dyDescent="0.3">
      <c r="A24" s="2" t="s">
        <v>30</v>
      </c>
      <c r="B24">
        <v>138</v>
      </c>
      <c r="C24">
        <v>138</v>
      </c>
      <c r="D24">
        <v>138</v>
      </c>
      <c r="E24">
        <v>138</v>
      </c>
      <c r="F24">
        <v>138</v>
      </c>
      <c r="G24">
        <v>138</v>
      </c>
      <c r="H24">
        <v>138</v>
      </c>
      <c r="I24">
        <v>138</v>
      </c>
      <c r="J24">
        <v>138</v>
      </c>
      <c r="K24">
        <v>138</v>
      </c>
      <c r="L24">
        <v>1380</v>
      </c>
    </row>
    <row r="25" spans="1:12" x14ac:dyDescent="0.3">
      <c r="A25" s="2" t="s">
        <v>55</v>
      </c>
      <c r="B25">
        <v>1819</v>
      </c>
      <c r="C25">
        <v>1819</v>
      </c>
      <c r="D25">
        <v>1819</v>
      </c>
      <c r="E25">
        <v>1819</v>
      </c>
      <c r="F25">
        <v>1819</v>
      </c>
      <c r="G25">
        <v>1819</v>
      </c>
      <c r="H25">
        <v>1819</v>
      </c>
      <c r="I25">
        <v>1819</v>
      </c>
      <c r="J25">
        <v>1819</v>
      </c>
      <c r="K25">
        <v>1819</v>
      </c>
      <c r="L25">
        <v>18190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55CD9-601C-426A-A560-2EB6A1C33325}">
  <sheetPr codeName="Sheet2"/>
  <dimension ref="A3:V10"/>
  <sheetViews>
    <sheetView zoomScale="69" workbookViewId="0">
      <selection activeCell="R13" sqref="R13"/>
    </sheetView>
  </sheetViews>
  <sheetFormatPr defaultRowHeight="14.4" x14ac:dyDescent="0.3"/>
  <cols>
    <col min="1" max="1" width="16.5546875" bestFit="1" customWidth="1"/>
    <col min="2" max="2" width="18" bestFit="1" customWidth="1"/>
    <col min="3" max="3" width="11.88671875" bestFit="1" customWidth="1"/>
    <col min="4" max="4" width="8.44140625" bestFit="1" customWidth="1"/>
    <col min="5" max="6" width="7" bestFit="1" customWidth="1"/>
    <col min="7" max="7" width="6.6640625" bestFit="1" customWidth="1"/>
    <col min="8" max="8" width="8.33203125" bestFit="1" customWidth="1"/>
    <col min="9" max="9" width="10.77734375" bestFit="1" customWidth="1"/>
    <col min="10" max="10" width="7.33203125" bestFit="1" customWidth="1"/>
    <col min="11" max="11" width="13.6640625" bestFit="1" customWidth="1"/>
    <col min="12" max="12" width="8.77734375" bestFit="1" customWidth="1"/>
    <col min="13" max="13" width="16.33203125" bestFit="1" customWidth="1"/>
    <col min="14" max="14" width="11.21875" bestFit="1" customWidth="1"/>
    <col min="15" max="15" width="9.44140625" bestFit="1" customWidth="1"/>
    <col min="16" max="16" width="12.33203125" bestFit="1" customWidth="1"/>
    <col min="17" max="17" width="6.6640625" bestFit="1" customWidth="1"/>
    <col min="18" max="18" width="17.6640625" bestFit="1" customWidth="1"/>
    <col min="19" max="19" width="11.21875" bestFit="1" customWidth="1"/>
    <col min="20" max="20" width="5.5546875" bestFit="1" customWidth="1"/>
    <col min="21" max="21" width="9.44140625" bestFit="1" customWidth="1"/>
    <col min="22" max="22" width="11.21875" bestFit="1" customWidth="1"/>
  </cols>
  <sheetData>
    <row r="3" spans="1:22" x14ac:dyDescent="0.3">
      <c r="A3" s="1" t="s">
        <v>56</v>
      </c>
      <c r="B3" s="1" t="s">
        <v>58</v>
      </c>
    </row>
    <row r="4" spans="1:22" x14ac:dyDescent="0.3">
      <c r="A4" s="1" t="s">
        <v>54</v>
      </c>
      <c r="B4" t="s">
        <v>33</v>
      </c>
      <c r="C4" t="s">
        <v>35</v>
      </c>
      <c r="D4" t="s">
        <v>22</v>
      </c>
      <c r="E4" t="s">
        <v>24</v>
      </c>
      <c r="F4" t="s">
        <v>27</v>
      </c>
      <c r="G4" t="s">
        <v>36</v>
      </c>
      <c r="H4" t="s">
        <v>41</v>
      </c>
      <c r="I4" t="s">
        <v>37</v>
      </c>
      <c r="J4" t="s">
        <v>23</v>
      </c>
      <c r="K4" t="s">
        <v>39</v>
      </c>
      <c r="L4" t="s">
        <v>29</v>
      </c>
      <c r="M4" t="s">
        <v>25</v>
      </c>
      <c r="N4" t="s">
        <v>26</v>
      </c>
      <c r="O4" t="s">
        <v>28</v>
      </c>
      <c r="P4" t="s">
        <v>32</v>
      </c>
      <c r="Q4" t="s">
        <v>34</v>
      </c>
      <c r="R4" t="s">
        <v>38</v>
      </c>
      <c r="S4" t="s">
        <v>31</v>
      </c>
      <c r="T4" t="s">
        <v>40</v>
      </c>
      <c r="U4" t="s">
        <v>30</v>
      </c>
      <c r="V4" t="s">
        <v>55</v>
      </c>
    </row>
    <row r="5" spans="1:22" x14ac:dyDescent="0.3">
      <c r="A5" s="2" t="s">
        <v>10</v>
      </c>
      <c r="B5">
        <v>9.6</v>
      </c>
      <c r="C5">
        <v>5.4</v>
      </c>
      <c r="D5">
        <v>3</v>
      </c>
      <c r="E5">
        <v>7.9</v>
      </c>
      <c r="F5">
        <v>8.1</v>
      </c>
      <c r="G5">
        <v>9.1999999999999993</v>
      </c>
      <c r="H5">
        <v>9.6</v>
      </c>
      <c r="I5">
        <v>6.3</v>
      </c>
      <c r="J5">
        <v>7.5</v>
      </c>
      <c r="K5">
        <v>8.6999999999999993</v>
      </c>
      <c r="L5">
        <v>9.6999999999999993</v>
      </c>
      <c r="M5">
        <v>9.1</v>
      </c>
      <c r="N5">
        <v>5.5</v>
      </c>
      <c r="O5">
        <v>8.1</v>
      </c>
      <c r="P5">
        <v>2.8</v>
      </c>
      <c r="Q5">
        <v>9.8000000000000007</v>
      </c>
      <c r="R5">
        <v>7.5</v>
      </c>
      <c r="S5">
        <v>5.6</v>
      </c>
      <c r="T5">
        <v>9</v>
      </c>
      <c r="U5">
        <v>4.3</v>
      </c>
      <c r="V5">
        <v>146.69999999999999</v>
      </c>
    </row>
    <row r="6" spans="1:22" x14ac:dyDescent="0.3">
      <c r="A6" s="2" t="s">
        <v>12</v>
      </c>
      <c r="B6">
        <v>4.5</v>
      </c>
      <c r="C6">
        <v>3.6</v>
      </c>
      <c r="D6">
        <v>8.3000000000000007</v>
      </c>
      <c r="E6">
        <v>5.4</v>
      </c>
      <c r="F6">
        <v>8.3000000000000007</v>
      </c>
      <c r="G6">
        <v>5.2</v>
      </c>
      <c r="H6">
        <v>9.9</v>
      </c>
      <c r="I6">
        <v>7.6</v>
      </c>
      <c r="J6">
        <v>9.4</v>
      </c>
      <c r="K6">
        <v>2.7</v>
      </c>
      <c r="L6">
        <v>4.7</v>
      </c>
      <c r="M6">
        <v>3.3</v>
      </c>
      <c r="N6">
        <v>5.0999999999999996</v>
      </c>
      <c r="O6">
        <v>9.6</v>
      </c>
      <c r="P6">
        <v>9.1999999999999993</v>
      </c>
      <c r="Q6">
        <v>8.6</v>
      </c>
      <c r="R6">
        <v>3.3</v>
      </c>
      <c r="S6">
        <v>5.5</v>
      </c>
      <c r="T6">
        <v>3.8</v>
      </c>
      <c r="U6">
        <v>6.2</v>
      </c>
      <c r="V6">
        <v>124.19999999999997</v>
      </c>
    </row>
    <row r="7" spans="1:22" x14ac:dyDescent="0.3">
      <c r="A7" s="2" t="s">
        <v>14</v>
      </c>
      <c r="B7">
        <v>5.0999999999999996</v>
      </c>
      <c r="C7">
        <v>2.1</v>
      </c>
      <c r="D7">
        <v>9.3000000000000007</v>
      </c>
      <c r="E7">
        <v>8.1999999999999993</v>
      </c>
      <c r="F7">
        <v>6.4</v>
      </c>
      <c r="G7">
        <v>8.4</v>
      </c>
      <c r="H7">
        <v>6.4</v>
      </c>
      <c r="I7">
        <v>6.9</v>
      </c>
      <c r="J7">
        <v>7.2</v>
      </c>
      <c r="K7">
        <v>5.4</v>
      </c>
      <c r="L7">
        <v>5</v>
      </c>
      <c r="M7">
        <v>9.6</v>
      </c>
      <c r="N7">
        <v>9.1999999999999993</v>
      </c>
      <c r="O7">
        <v>5.2</v>
      </c>
      <c r="P7">
        <v>2.7</v>
      </c>
      <c r="Q7">
        <v>5.9</v>
      </c>
      <c r="R7">
        <v>6.9</v>
      </c>
      <c r="S7">
        <v>8.3000000000000007</v>
      </c>
      <c r="T7">
        <v>3.2</v>
      </c>
      <c r="U7">
        <v>7.2</v>
      </c>
      <c r="V7">
        <v>128.60000000000002</v>
      </c>
    </row>
    <row r="8" spans="1:22" x14ac:dyDescent="0.3">
      <c r="A8" s="2" t="s">
        <v>17</v>
      </c>
      <c r="B8">
        <v>4.8</v>
      </c>
      <c r="C8">
        <v>9.6999999999999993</v>
      </c>
      <c r="D8">
        <v>3.8</v>
      </c>
      <c r="E8">
        <v>9.8000000000000007</v>
      </c>
      <c r="F8">
        <v>6.9</v>
      </c>
      <c r="G8">
        <v>4.5</v>
      </c>
      <c r="H8">
        <v>3.5</v>
      </c>
      <c r="I8">
        <v>8.1999999999999993</v>
      </c>
      <c r="J8">
        <v>3.3</v>
      </c>
      <c r="K8">
        <v>4.5999999999999996</v>
      </c>
      <c r="L8">
        <v>2.4</v>
      </c>
      <c r="M8">
        <v>9.9</v>
      </c>
      <c r="N8">
        <v>6.6</v>
      </c>
      <c r="O8">
        <v>7.4</v>
      </c>
      <c r="P8">
        <v>7.7</v>
      </c>
      <c r="Q8">
        <v>4.0999999999999996</v>
      </c>
      <c r="R8">
        <v>7.1</v>
      </c>
      <c r="S8">
        <v>7.8</v>
      </c>
      <c r="T8">
        <v>5.3</v>
      </c>
      <c r="U8">
        <v>4</v>
      </c>
      <c r="V8">
        <v>121.39999999999999</v>
      </c>
    </row>
    <row r="9" spans="1:22" x14ac:dyDescent="0.3">
      <c r="A9" s="2" t="s">
        <v>19</v>
      </c>
      <c r="B9">
        <v>6.9</v>
      </c>
      <c r="C9">
        <v>7.7</v>
      </c>
      <c r="D9">
        <v>3.5</v>
      </c>
      <c r="E9">
        <v>7.4</v>
      </c>
      <c r="F9">
        <v>8.6999999999999993</v>
      </c>
      <c r="G9">
        <v>4.4000000000000004</v>
      </c>
      <c r="H9">
        <v>8.5</v>
      </c>
      <c r="I9">
        <v>5.2</v>
      </c>
      <c r="J9">
        <v>9.6</v>
      </c>
      <c r="K9">
        <v>8.4</v>
      </c>
      <c r="L9">
        <v>4.8</v>
      </c>
      <c r="M9">
        <v>2.6</v>
      </c>
      <c r="N9">
        <v>3.9</v>
      </c>
      <c r="O9">
        <v>5.7</v>
      </c>
      <c r="P9">
        <v>9</v>
      </c>
      <c r="Q9">
        <v>6.8</v>
      </c>
      <c r="R9">
        <v>3.5</v>
      </c>
      <c r="S9">
        <v>4.8</v>
      </c>
      <c r="T9">
        <v>7.1</v>
      </c>
      <c r="U9">
        <v>8.6</v>
      </c>
      <c r="V9">
        <v>127.1</v>
      </c>
    </row>
    <row r="10" spans="1:22" x14ac:dyDescent="0.3">
      <c r="A10" s="2" t="s">
        <v>55</v>
      </c>
      <c r="B10">
        <v>30.9</v>
      </c>
      <c r="C10">
        <v>28.499999999999996</v>
      </c>
      <c r="D10">
        <v>27.900000000000002</v>
      </c>
      <c r="E10">
        <v>38.700000000000003</v>
      </c>
      <c r="F10">
        <v>38.399999999999991</v>
      </c>
      <c r="G10">
        <v>31.699999999999996</v>
      </c>
      <c r="H10">
        <v>37.9</v>
      </c>
      <c r="I10">
        <v>34.199999999999996</v>
      </c>
      <c r="J10">
        <v>37</v>
      </c>
      <c r="K10">
        <v>29.799999999999997</v>
      </c>
      <c r="L10">
        <v>26.599999999999998</v>
      </c>
      <c r="M10">
        <v>34.5</v>
      </c>
      <c r="N10">
        <v>30.299999999999997</v>
      </c>
      <c r="O10">
        <v>36</v>
      </c>
      <c r="P10">
        <v>31.4</v>
      </c>
      <c r="Q10">
        <v>35.199999999999996</v>
      </c>
      <c r="R10">
        <v>28.300000000000004</v>
      </c>
      <c r="S10">
        <v>32</v>
      </c>
      <c r="T10">
        <v>28.4</v>
      </c>
      <c r="U10">
        <v>30.299999999999997</v>
      </c>
      <c r="V10">
        <v>648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0C37-FEE3-430A-A8B1-63C96AA39F0D}">
  <sheetPr codeName="Sheet3"/>
  <dimension ref="A3:B16"/>
  <sheetViews>
    <sheetView workbookViewId="0">
      <selection activeCell="E22" sqref="E22"/>
    </sheetView>
  </sheetViews>
  <sheetFormatPr defaultRowHeight="14.4" x14ac:dyDescent="0.3"/>
  <cols>
    <col min="1" max="1" width="15.6640625" bestFit="1" customWidth="1"/>
    <col min="2" max="2" width="26.44140625" bestFit="1" customWidth="1"/>
  </cols>
  <sheetData>
    <row r="3" spans="1:2" x14ac:dyDescent="0.3">
      <c r="A3" s="1" t="s">
        <v>54</v>
      </c>
      <c r="B3" t="s">
        <v>57</v>
      </c>
    </row>
    <row r="4" spans="1:2" x14ac:dyDescent="0.3">
      <c r="A4" s="2" t="s">
        <v>53</v>
      </c>
      <c r="B4">
        <v>140</v>
      </c>
    </row>
    <row r="5" spans="1:2" x14ac:dyDescent="0.3">
      <c r="A5" s="2" t="s">
        <v>50</v>
      </c>
      <c r="B5">
        <v>1330</v>
      </c>
    </row>
    <row r="6" spans="1:2" x14ac:dyDescent="0.3">
      <c r="A6" s="2" t="s">
        <v>43</v>
      </c>
      <c r="B6">
        <v>1340</v>
      </c>
    </row>
    <row r="7" spans="1:2" x14ac:dyDescent="0.3">
      <c r="A7" s="2" t="s">
        <v>42</v>
      </c>
      <c r="B7">
        <v>2220</v>
      </c>
    </row>
    <row r="8" spans="1:2" x14ac:dyDescent="0.3">
      <c r="A8" s="2" t="s">
        <v>49</v>
      </c>
      <c r="B8">
        <v>110</v>
      </c>
    </row>
    <row r="9" spans="1:2" x14ac:dyDescent="0.3">
      <c r="A9" s="2" t="s">
        <v>44</v>
      </c>
      <c r="B9">
        <v>3460</v>
      </c>
    </row>
    <row r="10" spans="1:2" x14ac:dyDescent="0.3">
      <c r="A10" s="2" t="s">
        <v>45</v>
      </c>
      <c r="B10">
        <v>840</v>
      </c>
    </row>
    <row r="11" spans="1:2" x14ac:dyDescent="0.3">
      <c r="A11" s="2" t="s">
        <v>48</v>
      </c>
      <c r="B11">
        <v>380</v>
      </c>
    </row>
    <row r="12" spans="1:2" x14ac:dyDescent="0.3">
      <c r="A12" s="2" t="s">
        <v>51</v>
      </c>
      <c r="B12">
        <v>1310</v>
      </c>
    </row>
    <row r="13" spans="1:2" x14ac:dyDescent="0.3">
      <c r="A13" s="2" t="s">
        <v>47</v>
      </c>
      <c r="B13">
        <v>3920</v>
      </c>
    </row>
    <row r="14" spans="1:2" x14ac:dyDescent="0.3">
      <c r="A14" s="2" t="s">
        <v>52</v>
      </c>
      <c r="B14">
        <v>790</v>
      </c>
    </row>
    <row r="15" spans="1:2" x14ac:dyDescent="0.3">
      <c r="A15" s="2" t="s">
        <v>46</v>
      </c>
      <c r="B15">
        <v>2350</v>
      </c>
    </row>
    <row r="16" spans="1:2" x14ac:dyDescent="0.3">
      <c r="A16" s="2" t="s">
        <v>55</v>
      </c>
      <c r="B16">
        <v>18190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10BF1-7F0C-4BEA-A4D9-1A165C4A19FC}">
  <sheetPr codeName="Sheet4"/>
  <dimension ref="A3:W26"/>
  <sheetViews>
    <sheetView zoomScale="63" workbookViewId="0">
      <selection activeCell="J24" sqref="J24"/>
    </sheetView>
  </sheetViews>
  <sheetFormatPr defaultRowHeight="14.4" x14ac:dyDescent="0.3"/>
  <cols>
    <col min="1" max="1" width="20" bestFit="1" customWidth="1"/>
    <col min="2" max="2" width="22" bestFit="1" customWidth="1"/>
    <col min="3" max="3" width="29.88671875" bestFit="1" customWidth="1"/>
    <col min="4" max="4" width="22" bestFit="1" customWidth="1"/>
    <col min="5" max="5" width="29.88671875" bestFit="1" customWidth="1"/>
    <col min="6" max="6" width="22" bestFit="1" customWidth="1"/>
    <col min="7" max="7" width="29.88671875" bestFit="1" customWidth="1"/>
    <col min="8" max="8" width="22" bestFit="1" customWidth="1"/>
    <col min="9" max="9" width="29.88671875" bestFit="1" customWidth="1"/>
    <col min="10" max="10" width="22" bestFit="1" customWidth="1"/>
    <col min="11" max="11" width="29.88671875" bestFit="1" customWidth="1"/>
    <col min="12" max="12" width="22" bestFit="1" customWidth="1"/>
    <col min="13" max="13" width="29.88671875" bestFit="1" customWidth="1"/>
    <col min="14" max="14" width="22" bestFit="1" customWidth="1"/>
    <col min="15" max="15" width="29.88671875" bestFit="1" customWidth="1"/>
    <col min="16" max="16" width="22" bestFit="1" customWidth="1"/>
    <col min="17" max="17" width="29.88671875" bestFit="1" customWidth="1"/>
    <col min="18" max="18" width="22" bestFit="1" customWidth="1"/>
    <col min="19" max="19" width="29.88671875" bestFit="1" customWidth="1"/>
    <col min="20" max="20" width="22" bestFit="1" customWidth="1"/>
    <col min="21" max="21" width="29.88671875" bestFit="1" customWidth="1"/>
    <col min="22" max="22" width="27.21875" bestFit="1" customWidth="1"/>
    <col min="23" max="23" width="35" bestFit="1" customWidth="1"/>
    <col min="24" max="24" width="22" bestFit="1" customWidth="1"/>
    <col min="25" max="25" width="29.88671875" bestFit="1" customWidth="1"/>
    <col min="26" max="26" width="27.21875" bestFit="1" customWidth="1"/>
    <col min="27" max="27" width="35" bestFit="1" customWidth="1"/>
    <col min="28" max="34" width="29" bestFit="1" customWidth="1"/>
    <col min="35" max="35" width="33.109375" bestFit="1" customWidth="1"/>
    <col min="36" max="36" width="25.44140625" bestFit="1" customWidth="1"/>
    <col min="37" max="46" width="29" bestFit="1" customWidth="1"/>
    <col min="47" max="47" width="32.5546875" bestFit="1" customWidth="1"/>
    <col min="48" max="48" width="24.88671875" bestFit="1" customWidth="1"/>
    <col min="49" max="58" width="29" bestFit="1" customWidth="1"/>
    <col min="59" max="59" width="33.44140625" bestFit="1" customWidth="1"/>
    <col min="60" max="60" width="25.77734375" bestFit="1" customWidth="1"/>
    <col min="61" max="72" width="29" bestFit="1" customWidth="1"/>
    <col min="73" max="73" width="32.44140625" bestFit="1" customWidth="1"/>
    <col min="74" max="74" width="24.77734375" bestFit="1" customWidth="1"/>
    <col min="75" max="84" width="29" bestFit="1" customWidth="1"/>
    <col min="85" max="85" width="31.88671875" bestFit="1" customWidth="1"/>
    <col min="86" max="86" width="24.21875" bestFit="1" customWidth="1"/>
    <col min="87" max="96" width="29" bestFit="1" customWidth="1"/>
    <col min="97" max="97" width="32.88671875" bestFit="1" customWidth="1"/>
    <col min="98" max="98" width="25.21875" bestFit="1" customWidth="1"/>
    <col min="99" max="108" width="29" bestFit="1" customWidth="1"/>
    <col min="109" max="109" width="32.77734375" bestFit="1" customWidth="1"/>
    <col min="110" max="110" width="25.109375" bestFit="1" customWidth="1"/>
    <col min="111" max="120" width="29" bestFit="1" customWidth="1"/>
    <col min="121" max="121" width="32.5546875" bestFit="1" customWidth="1"/>
    <col min="122" max="122" width="24.88671875" bestFit="1" customWidth="1"/>
    <col min="123" max="132" width="29" bestFit="1" customWidth="1"/>
    <col min="133" max="133" width="33.109375" bestFit="1" customWidth="1"/>
    <col min="134" max="134" width="25.44140625" bestFit="1" customWidth="1"/>
    <col min="135" max="144" width="29" bestFit="1" customWidth="1"/>
    <col min="145" max="145" width="32.88671875" bestFit="1" customWidth="1"/>
    <col min="146" max="146" width="25.21875" bestFit="1" customWidth="1"/>
    <col min="147" max="147" width="34" bestFit="1" customWidth="1"/>
    <col min="148" max="148" width="26.44140625" bestFit="1" customWidth="1"/>
  </cols>
  <sheetData>
    <row r="3" spans="1:23" x14ac:dyDescent="0.3">
      <c r="B3" s="1" t="s">
        <v>58</v>
      </c>
    </row>
    <row r="4" spans="1:23" x14ac:dyDescent="0.3">
      <c r="B4" t="s">
        <v>10</v>
      </c>
      <c r="D4" t="s">
        <v>11</v>
      </c>
      <c r="F4" t="s">
        <v>12</v>
      </c>
      <c r="H4" t="s">
        <v>13</v>
      </c>
      <c r="J4" t="s">
        <v>14</v>
      </c>
      <c r="L4" t="s">
        <v>15</v>
      </c>
      <c r="N4" t="s">
        <v>16</v>
      </c>
      <c r="P4" t="s">
        <v>17</v>
      </c>
      <c r="R4" t="s">
        <v>18</v>
      </c>
      <c r="T4" t="s">
        <v>19</v>
      </c>
      <c r="V4" t="s">
        <v>62</v>
      </c>
      <c r="W4" t="s">
        <v>60</v>
      </c>
    </row>
    <row r="5" spans="1:23" x14ac:dyDescent="0.3">
      <c r="A5" s="1" t="s">
        <v>54</v>
      </c>
      <c r="B5" t="s">
        <v>63</v>
      </c>
      <c r="C5" t="s">
        <v>61</v>
      </c>
      <c r="D5" t="s">
        <v>63</v>
      </c>
      <c r="E5" t="s">
        <v>61</v>
      </c>
      <c r="F5" t="s">
        <v>63</v>
      </c>
      <c r="G5" t="s">
        <v>61</v>
      </c>
      <c r="H5" t="s">
        <v>63</v>
      </c>
      <c r="I5" t="s">
        <v>61</v>
      </c>
      <c r="J5" t="s">
        <v>63</v>
      </c>
      <c r="K5" t="s">
        <v>61</v>
      </c>
      <c r="L5" t="s">
        <v>63</v>
      </c>
      <c r="M5" t="s">
        <v>61</v>
      </c>
      <c r="N5" t="s">
        <v>63</v>
      </c>
      <c r="O5" t="s">
        <v>61</v>
      </c>
      <c r="P5" t="s">
        <v>63</v>
      </c>
      <c r="Q5" t="s">
        <v>61</v>
      </c>
      <c r="R5" t="s">
        <v>63</v>
      </c>
      <c r="S5" t="s">
        <v>61</v>
      </c>
      <c r="T5" t="s">
        <v>63</v>
      </c>
      <c r="U5" t="s">
        <v>61</v>
      </c>
    </row>
    <row r="6" spans="1:23" x14ac:dyDescent="0.3">
      <c r="A6" s="2" t="s">
        <v>33</v>
      </c>
      <c r="B6">
        <v>355636</v>
      </c>
      <c r="C6">
        <v>149</v>
      </c>
      <c r="D6">
        <v>596750</v>
      </c>
      <c r="E6">
        <v>129</v>
      </c>
      <c r="F6">
        <v>617387</v>
      </c>
      <c r="G6">
        <v>59</v>
      </c>
      <c r="H6">
        <v>319802</v>
      </c>
      <c r="I6">
        <v>202</v>
      </c>
      <c r="J6">
        <v>555620</v>
      </c>
      <c r="K6">
        <v>243</v>
      </c>
      <c r="L6">
        <v>196458</v>
      </c>
      <c r="M6">
        <v>90</v>
      </c>
      <c r="N6">
        <v>880970</v>
      </c>
      <c r="O6">
        <v>71</v>
      </c>
      <c r="P6">
        <v>601378</v>
      </c>
      <c r="Q6">
        <v>99</v>
      </c>
      <c r="R6">
        <v>125045</v>
      </c>
      <c r="S6">
        <v>239</v>
      </c>
      <c r="T6">
        <v>182702</v>
      </c>
      <c r="U6">
        <v>68</v>
      </c>
      <c r="V6">
        <v>4431748</v>
      </c>
      <c r="W6">
        <v>1349</v>
      </c>
    </row>
    <row r="7" spans="1:23" x14ac:dyDescent="0.3">
      <c r="A7" s="2" t="s">
        <v>35</v>
      </c>
      <c r="B7">
        <v>320110</v>
      </c>
      <c r="C7">
        <v>33</v>
      </c>
      <c r="D7">
        <v>832639</v>
      </c>
      <c r="E7">
        <v>68</v>
      </c>
      <c r="F7">
        <v>634860</v>
      </c>
      <c r="G7">
        <v>100</v>
      </c>
      <c r="H7">
        <v>319671</v>
      </c>
      <c r="I7">
        <v>196</v>
      </c>
      <c r="J7">
        <v>503533</v>
      </c>
      <c r="K7">
        <v>177</v>
      </c>
      <c r="L7">
        <v>608658</v>
      </c>
      <c r="M7">
        <v>246</v>
      </c>
      <c r="N7">
        <v>300114</v>
      </c>
      <c r="O7">
        <v>222</v>
      </c>
      <c r="P7">
        <v>480829</v>
      </c>
      <c r="Q7">
        <v>219</v>
      </c>
      <c r="R7">
        <v>704220</v>
      </c>
      <c r="S7">
        <v>75</v>
      </c>
      <c r="T7">
        <v>533704</v>
      </c>
      <c r="U7">
        <v>78</v>
      </c>
      <c r="V7">
        <v>5238338</v>
      </c>
      <c r="W7">
        <v>1414</v>
      </c>
    </row>
    <row r="8" spans="1:23" x14ac:dyDescent="0.3">
      <c r="A8" s="2" t="s">
        <v>22</v>
      </c>
      <c r="B8">
        <v>374802</v>
      </c>
      <c r="C8">
        <v>155</v>
      </c>
      <c r="D8">
        <v>787041</v>
      </c>
      <c r="E8">
        <v>101</v>
      </c>
      <c r="F8">
        <v>783196</v>
      </c>
      <c r="G8">
        <v>194</v>
      </c>
      <c r="H8">
        <v>621672</v>
      </c>
      <c r="I8">
        <v>63</v>
      </c>
      <c r="J8">
        <v>216285</v>
      </c>
      <c r="K8">
        <v>215</v>
      </c>
      <c r="L8">
        <v>587294</v>
      </c>
      <c r="M8">
        <v>137</v>
      </c>
      <c r="N8">
        <v>503477</v>
      </c>
      <c r="O8">
        <v>48</v>
      </c>
      <c r="P8">
        <v>654785</v>
      </c>
      <c r="Q8">
        <v>22</v>
      </c>
      <c r="R8">
        <v>608842</v>
      </c>
      <c r="S8">
        <v>201</v>
      </c>
      <c r="T8">
        <v>318105</v>
      </c>
      <c r="U8">
        <v>144</v>
      </c>
      <c r="V8">
        <v>5455499</v>
      </c>
      <c r="W8">
        <v>1280</v>
      </c>
    </row>
    <row r="9" spans="1:23" x14ac:dyDescent="0.3">
      <c r="A9" s="2" t="s">
        <v>24</v>
      </c>
      <c r="B9">
        <v>889257</v>
      </c>
      <c r="C9">
        <v>237</v>
      </c>
      <c r="D9">
        <v>388840</v>
      </c>
      <c r="E9">
        <v>112</v>
      </c>
      <c r="F9">
        <v>592209</v>
      </c>
      <c r="G9">
        <v>67</v>
      </c>
      <c r="H9">
        <v>549291</v>
      </c>
      <c r="I9">
        <v>90</v>
      </c>
      <c r="J9">
        <v>711552</v>
      </c>
      <c r="K9">
        <v>67</v>
      </c>
      <c r="L9">
        <v>897754</v>
      </c>
      <c r="M9">
        <v>153</v>
      </c>
      <c r="N9">
        <v>549188</v>
      </c>
      <c r="O9">
        <v>103</v>
      </c>
      <c r="P9">
        <v>591460</v>
      </c>
      <c r="Q9">
        <v>225</v>
      </c>
      <c r="R9">
        <v>621379</v>
      </c>
      <c r="S9">
        <v>175</v>
      </c>
      <c r="T9">
        <v>789974</v>
      </c>
      <c r="U9">
        <v>219</v>
      </c>
      <c r="V9">
        <v>6580904</v>
      </c>
      <c r="W9">
        <v>1448</v>
      </c>
    </row>
    <row r="10" spans="1:23" x14ac:dyDescent="0.3">
      <c r="A10" s="2" t="s">
        <v>27</v>
      </c>
      <c r="B10">
        <v>874314</v>
      </c>
      <c r="C10">
        <v>34</v>
      </c>
      <c r="D10">
        <v>411124</v>
      </c>
      <c r="E10">
        <v>119</v>
      </c>
      <c r="F10">
        <v>235358</v>
      </c>
      <c r="G10">
        <v>184</v>
      </c>
      <c r="H10">
        <v>237095</v>
      </c>
      <c r="I10">
        <v>176</v>
      </c>
      <c r="J10">
        <v>573908</v>
      </c>
      <c r="K10">
        <v>187</v>
      </c>
      <c r="L10">
        <v>514941</v>
      </c>
      <c r="M10">
        <v>214</v>
      </c>
      <c r="N10">
        <v>163135</v>
      </c>
      <c r="O10">
        <v>142</v>
      </c>
      <c r="P10">
        <v>414111</v>
      </c>
      <c r="Q10">
        <v>182</v>
      </c>
      <c r="R10">
        <v>869114</v>
      </c>
      <c r="S10">
        <v>185</v>
      </c>
      <c r="T10">
        <v>108336</v>
      </c>
      <c r="U10">
        <v>184</v>
      </c>
      <c r="V10">
        <v>4401436</v>
      </c>
      <c r="W10">
        <v>1607</v>
      </c>
    </row>
    <row r="11" spans="1:23" x14ac:dyDescent="0.3">
      <c r="A11" s="2" t="s">
        <v>36</v>
      </c>
      <c r="B11">
        <v>749413</v>
      </c>
      <c r="C11">
        <v>136</v>
      </c>
      <c r="D11">
        <v>537939</v>
      </c>
      <c r="E11">
        <v>246</v>
      </c>
      <c r="F11">
        <v>740081</v>
      </c>
      <c r="G11">
        <v>170</v>
      </c>
      <c r="H11">
        <v>347068</v>
      </c>
      <c r="I11">
        <v>159</v>
      </c>
      <c r="J11">
        <v>565564</v>
      </c>
      <c r="K11">
        <v>31</v>
      </c>
      <c r="L11">
        <v>744731</v>
      </c>
      <c r="M11">
        <v>131</v>
      </c>
      <c r="N11">
        <v>472761</v>
      </c>
      <c r="O11">
        <v>224</v>
      </c>
      <c r="P11">
        <v>532005</v>
      </c>
      <c r="Q11">
        <v>102</v>
      </c>
      <c r="R11">
        <v>239806</v>
      </c>
      <c r="S11">
        <v>64</v>
      </c>
      <c r="T11">
        <v>666978</v>
      </c>
      <c r="U11">
        <v>189</v>
      </c>
      <c r="V11">
        <v>5596346</v>
      </c>
      <c r="W11">
        <v>1452</v>
      </c>
    </row>
    <row r="12" spans="1:23" x14ac:dyDescent="0.3">
      <c r="A12" s="2" t="s">
        <v>41</v>
      </c>
      <c r="B12">
        <v>547001</v>
      </c>
      <c r="C12">
        <v>153</v>
      </c>
      <c r="D12">
        <v>538538</v>
      </c>
      <c r="E12">
        <v>208</v>
      </c>
      <c r="F12">
        <v>476468</v>
      </c>
      <c r="G12">
        <v>245</v>
      </c>
      <c r="H12">
        <v>680651</v>
      </c>
      <c r="I12">
        <v>32</v>
      </c>
      <c r="J12">
        <v>351329</v>
      </c>
      <c r="K12">
        <v>214</v>
      </c>
      <c r="L12">
        <v>586756</v>
      </c>
      <c r="M12">
        <v>52</v>
      </c>
      <c r="N12">
        <v>698033</v>
      </c>
      <c r="O12">
        <v>137</v>
      </c>
      <c r="P12">
        <v>336439</v>
      </c>
      <c r="Q12">
        <v>180</v>
      </c>
      <c r="R12">
        <v>457528</v>
      </c>
      <c r="S12">
        <v>72</v>
      </c>
      <c r="T12">
        <v>884934</v>
      </c>
      <c r="U12">
        <v>94</v>
      </c>
      <c r="V12">
        <v>5557677</v>
      </c>
      <c r="W12">
        <v>1387</v>
      </c>
    </row>
    <row r="13" spans="1:23" x14ac:dyDescent="0.3">
      <c r="A13" s="2" t="s">
        <v>37</v>
      </c>
      <c r="B13">
        <v>540288</v>
      </c>
      <c r="C13">
        <v>51</v>
      </c>
      <c r="D13">
        <v>362106</v>
      </c>
      <c r="E13">
        <v>72</v>
      </c>
      <c r="F13">
        <v>125933</v>
      </c>
      <c r="G13">
        <v>104</v>
      </c>
      <c r="H13">
        <v>618202</v>
      </c>
      <c r="I13">
        <v>230</v>
      </c>
      <c r="J13">
        <v>439664</v>
      </c>
      <c r="K13">
        <v>97</v>
      </c>
      <c r="L13">
        <v>184752</v>
      </c>
      <c r="M13">
        <v>105</v>
      </c>
      <c r="N13">
        <v>414492</v>
      </c>
      <c r="O13">
        <v>31</v>
      </c>
      <c r="P13">
        <v>871914</v>
      </c>
      <c r="Q13">
        <v>78</v>
      </c>
      <c r="R13">
        <v>739266</v>
      </c>
      <c r="S13">
        <v>46</v>
      </c>
      <c r="T13">
        <v>306007</v>
      </c>
      <c r="U13">
        <v>198</v>
      </c>
      <c r="V13">
        <v>4602624</v>
      </c>
      <c r="W13">
        <v>1012</v>
      </c>
    </row>
    <row r="14" spans="1:23" x14ac:dyDescent="0.3">
      <c r="A14" s="2" t="s">
        <v>23</v>
      </c>
      <c r="B14">
        <v>688397</v>
      </c>
      <c r="C14">
        <v>135</v>
      </c>
      <c r="D14">
        <v>491344</v>
      </c>
      <c r="E14">
        <v>59</v>
      </c>
      <c r="F14">
        <v>501017</v>
      </c>
      <c r="G14">
        <v>127</v>
      </c>
      <c r="H14">
        <v>461469</v>
      </c>
      <c r="I14">
        <v>113</v>
      </c>
      <c r="J14">
        <v>545114</v>
      </c>
      <c r="K14">
        <v>202</v>
      </c>
      <c r="L14">
        <v>100172</v>
      </c>
      <c r="M14">
        <v>32</v>
      </c>
      <c r="N14">
        <v>719256</v>
      </c>
      <c r="O14">
        <v>68</v>
      </c>
      <c r="P14">
        <v>441048</v>
      </c>
      <c r="Q14">
        <v>120</v>
      </c>
      <c r="R14">
        <v>426309</v>
      </c>
      <c r="S14">
        <v>117</v>
      </c>
      <c r="T14">
        <v>409232</v>
      </c>
      <c r="U14">
        <v>151</v>
      </c>
      <c r="V14">
        <v>4783358</v>
      </c>
      <c r="W14">
        <v>1124</v>
      </c>
    </row>
    <row r="15" spans="1:23" x14ac:dyDescent="0.3">
      <c r="A15" s="2" t="s">
        <v>39</v>
      </c>
      <c r="B15">
        <v>526829</v>
      </c>
      <c r="C15">
        <v>175</v>
      </c>
      <c r="D15">
        <v>289554</v>
      </c>
      <c r="E15">
        <v>187</v>
      </c>
      <c r="F15">
        <v>289873</v>
      </c>
      <c r="G15">
        <v>152</v>
      </c>
      <c r="H15">
        <v>443454</v>
      </c>
      <c r="I15">
        <v>192</v>
      </c>
      <c r="J15">
        <v>615302</v>
      </c>
      <c r="K15">
        <v>201</v>
      </c>
      <c r="L15">
        <v>803857</v>
      </c>
      <c r="M15">
        <v>21</v>
      </c>
      <c r="N15">
        <v>821784</v>
      </c>
      <c r="O15">
        <v>110</v>
      </c>
      <c r="P15">
        <v>203077</v>
      </c>
      <c r="Q15">
        <v>28</v>
      </c>
      <c r="R15">
        <v>359466</v>
      </c>
      <c r="S15">
        <v>120</v>
      </c>
      <c r="T15">
        <v>689317</v>
      </c>
      <c r="U15">
        <v>65</v>
      </c>
      <c r="V15">
        <v>5042513</v>
      </c>
      <c r="W15">
        <v>1251</v>
      </c>
    </row>
    <row r="16" spans="1:23" x14ac:dyDescent="0.3">
      <c r="A16" s="2" t="s">
        <v>29</v>
      </c>
      <c r="B16">
        <v>445457</v>
      </c>
      <c r="C16">
        <v>66</v>
      </c>
      <c r="D16">
        <v>602110</v>
      </c>
      <c r="E16">
        <v>116</v>
      </c>
      <c r="F16">
        <v>181497</v>
      </c>
      <c r="G16">
        <v>115</v>
      </c>
      <c r="H16">
        <v>440810</v>
      </c>
      <c r="I16">
        <v>242</v>
      </c>
      <c r="J16">
        <v>639674</v>
      </c>
      <c r="K16">
        <v>235</v>
      </c>
      <c r="L16">
        <v>828483</v>
      </c>
      <c r="M16">
        <v>228</v>
      </c>
      <c r="N16">
        <v>492246</v>
      </c>
      <c r="O16">
        <v>58</v>
      </c>
      <c r="P16">
        <v>389879</v>
      </c>
      <c r="Q16">
        <v>232</v>
      </c>
      <c r="R16">
        <v>246915</v>
      </c>
      <c r="S16">
        <v>111</v>
      </c>
      <c r="T16">
        <v>499420</v>
      </c>
      <c r="U16">
        <v>118</v>
      </c>
      <c r="V16">
        <v>4766491</v>
      </c>
      <c r="W16">
        <v>1521</v>
      </c>
    </row>
    <row r="17" spans="1:23" x14ac:dyDescent="0.3">
      <c r="A17" s="2" t="s">
        <v>25</v>
      </c>
      <c r="B17">
        <v>793349</v>
      </c>
      <c r="C17">
        <v>102</v>
      </c>
      <c r="D17">
        <v>504803</v>
      </c>
      <c r="E17">
        <v>239</v>
      </c>
      <c r="F17">
        <v>475967</v>
      </c>
      <c r="G17">
        <v>212</v>
      </c>
      <c r="H17">
        <v>376758</v>
      </c>
      <c r="I17">
        <v>155</v>
      </c>
      <c r="J17">
        <v>616243</v>
      </c>
      <c r="K17">
        <v>213</v>
      </c>
      <c r="L17">
        <v>634739</v>
      </c>
      <c r="M17">
        <v>137</v>
      </c>
      <c r="N17">
        <v>727574</v>
      </c>
      <c r="O17">
        <v>127</v>
      </c>
      <c r="P17">
        <v>225446</v>
      </c>
      <c r="Q17">
        <v>146</v>
      </c>
      <c r="R17">
        <v>135813</v>
      </c>
      <c r="S17">
        <v>135</v>
      </c>
      <c r="T17">
        <v>624308</v>
      </c>
      <c r="U17">
        <v>35</v>
      </c>
      <c r="V17">
        <v>5115000</v>
      </c>
      <c r="W17">
        <v>1501</v>
      </c>
    </row>
    <row r="18" spans="1:23" x14ac:dyDescent="0.3">
      <c r="A18" s="2" t="s">
        <v>26</v>
      </c>
      <c r="B18">
        <v>212074</v>
      </c>
      <c r="C18">
        <v>66</v>
      </c>
      <c r="D18">
        <v>425731</v>
      </c>
      <c r="E18">
        <v>228</v>
      </c>
      <c r="F18">
        <v>612490</v>
      </c>
      <c r="G18">
        <v>209</v>
      </c>
      <c r="H18">
        <v>498353</v>
      </c>
      <c r="I18">
        <v>132</v>
      </c>
      <c r="J18">
        <v>534972</v>
      </c>
      <c r="K18">
        <v>141</v>
      </c>
      <c r="L18">
        <v>726629</v>
      </c>
      <c r="M18">
        <v>115</v>
      </c>
      <c r="N18">
        <v>471284</v>
      </c>
      <c r="O18">
        <v>130</v>
      </c>
      <c r="P18">
        <v>120311</v>
      </c>
      <c r="Q18">
        <v>152</v>
      </c>
      <c r="R18">
        <v>455347</v>
      </c>
      <c r="S18">
        <v>20</v>
      </c>
      <c r="T18">
        <v>343654</v>
      </c>
      <c r="U18">
        <v>141</v>
      </c>
      <c r="V18">
        <v>4400845</v>
      </c>
      <c r="W18">
        <v>1334</v>
      </c>
    </row>
    <row r="19" spans="1:23" x14ac:dyDescent="0.3">
      <c r="A19" s="2" t="s">
        <v>28</v>
      </c>
      <c r="B19">
        <v>416041</v>
      </c>
      <c r="C19">
        <v>195</v>
      </c>
      <c r="D19">
        <v>863853</v>
      </c>
      <c r="E19">
        <v>228</v>
      </c>
      <c r="F19">
        <v>305169</v>
      </c>
      <c r="G19">
        <v>220</v>
      </c>
      <c r="H19">
        <v>181578</v>
      </c>
      <c r="I19">
        <v>233</v>
      </c>
      <c r="J19">
        <v>428787</v>
      </c>
      <c r="K19">
        <v>196</v>
      </c>
      <c r="L19">
        <v>675797</v>
      </c>
      <c r="M19">
        <v>56</v>
      </c>
      <c r="N19">
        <v>405412</v>
      </c>
      <c r="O19">
        <v>89</v>
      </c>
      <c r="P19">
        <v>661372</v>
      </c>
      <c r="Q19">
        <v>77</v>
      </c>
      <c r="R19">
        <v>217337</v>
      </c>
      <c r="S19">
        <v>46</v>
      </c>
      <c r="T19">
        <v>556715</v>
      </c>
      <c r="U19">
        <v>29</v>
      </c>
      <c r="V19">
        <v>4712061</v>
      </c>
      <c r="W19">
        <v>1369</v>
      </c>
    </row>
    <row r="20" spans="1:23" x14ac:dyDescent="0.3">
      <c r="A20" s="2" t="s">
        <v>32</v>
      </c>
      <c r="B20">
        <v>831852</v>
      </c>
      <c r="C20">
        <v>156</v>
      </c>
      <c r="D20">
        <v>483220</v>
      </c>
      <c r="E20">
        <v>213</v>
      </c>
      <c r="F20">
        <v>155358</v>
      </c>
      <c r="G20">
        <v>37</v>
      </c>
      <c r="H20">
        <v>368455</v>
      </c>
      <c r="I20">
        <v>144</v>
      </c>
      <c r="J20">
        <v>833677</v>
      </c>
      <c r="K20">
        <v>130</v>
      </c>
      <c r="L20">
        <v>515946</v>
      </c>
      <c r="M20">
        <v>51</v>
      </c>
      <c r="N20">
        <v>112639</v>
      </c>
      <c r="O20">
        <v>156</v>
      </c>
      <c r="P20">
        <v>450248</v>
      </c>
      <c r="Q20">
        <v>147</v>
      </c>
      <c r="R20">
        <v>673352</v>
      </c>
      <c r="S20">
        <v>176</v>
      </c>
      <c r="T20">
        <v>129635</v>
      </c>
      <c r="U20">
        <v>221</v>
      </c>
      <c r="V20">
        <v>4554382</v>
      </c>
      <c r="W20">
        <v>1431</v>
      </c>
    </row>
    <row r="21" spans="1:23" x14ac:dyDescent="0.3">
      <c r="A21" s="2" t="s">
        <v>34</v>
      </c>
      <c r="B21">
        <v>195179</v>
      </c>
      <c r="C21">
        <v>114</v>
      </c>
      <c r="D21">
        <v>752051</v>
      </c>
      <c r="E21">
        <v>170</v>
      </c>
      <c r="F21">
        <v>726748</v>
      </c>
      <c r="G21">
        <v>249</v>
      </c>
      <c r="H21">
        <v>854833</v>
      </c>
      <c r="I21">
        <v>140</v>
      </c>
      <c r="J21">
        <v>596570</v>
      </c>
      <c r="K21">
        <v>56</v>
      </c>
      <c r="L21">
        <v>415222</v>
      </c>
      <c r="M21">
        <v>39</v>
      </c>
      <c r="N21">
        <v>728929</v>
      </c>
      <c r="O21">
        <v>173</v>
      </c>
      <c r="P21">
        <v>810854</v>
      </c>
      <c r="Q21">
        <v>138</v>
      </c>
      <c r="R21">
        <v>897676</v>
      </c>
      <c r="S21">
        <v>81</v>
      </c>
      <c r="T21">
        <v>397707</v>
      </c>
      <c r="U21">
        <v>113</v>
      </c>
      <c r="V21">
        <v>6375769</v>
      </c>
      <c r="W21">
        <v>1273</v>
      </c>
    </row>
    <row r="22" spans="1:23" x14ac:dyDescent="0.3">
      <c r="A22" s="2" t="s">
        <v>38</v>
      </c>
      <c r="B22">
        <v>538254</v>
      </c>
      <c r="C22">
        <v>168</v>
      </c>
      <c r="D22">
        <v>361786</v>
      </c>
      <c r="E22">
        <v>89</v>
      </c>
      <c r="F22">
        <v>514043</v>
      </c>
      <c r="G22">
        <v>202</v>
      </c>
      <c r="H22">
        <v>247594</v>
      </c>
      <c r="I22">
        <v>109</v>
      </c>
      <c r="J22">
        <v>103978</v>
      </c>
      <c r="K22">
        <v>225</v>
      </c>
      <c r="L22">
        <v>154583</v>
      </c>
      <c r="M22">
        <v>197</v>
      </c>
      <c r="N22">
        <v>355851</v>
      </c>
      <c r="O22">
        <v>94</v>
      </c>
      <c r="P22">
        <v>683107</v>
      </c>
      <c r="Q22">
        <v>21</v>
      </c>
      <c r="R22">
        <v>591941</v>
      </c>
      <c r="S22">
        <v>250</v>
      </c>
      <c r="T22">
        <v>379837</v>
      </c>
      <c r="U22">
        <v>137</v>
      </c>
      <c r="V22">
        <v>3930974</v>
      </c>
      <c r="W22">
        <v>1492</v>
      </c>
    </row>
    <row r="23" spans="1:23" x14ac:dyDescent="0.3">
      <c r="A23" s="2" t="s">
        <v>31</v>
      </c>
      <c r="B23">
        <v>887396</v>
      </c>
      <c r="C23">
        <v>165</v>
      </c>
      <c r="D23">
        <v>150734</v>
      </c>
      <c r="E23">
        <v>241</v>
      </c>
      <c r="F23">
        <v>138558</v>
      </c>
      <c r="G23">
        <v>86</v>
      </c>
      <c r="H23">
        <v>502758</v>
      </c>
      <c r="I23">
        <v>177</v>
      </c>
      <c r="J23">
        <v>314163</v>
      </c>
      <c r="K23">
        <v>113</v>
      </c>
      <c r="L23">
        <v>509277</v>
      </c>
      <c r="M23">
        <v>128</v>
      </c>
      <c r="N23">
        <v>781275</v>
      </c>
      <c r="O23">
        <v>228</v>
      </c>
      <c r="P23">
        <v>497959</v>
      </c>
      <c r="Q23">
        <v>30</v>
      </c>
      <c r="R23">
        <v>225937</v>
      </c>
      <c r="S23">
        <v>60</v>
      </c>
      <c r="T23">
        <v>366802</v>
      </c>
      <c r="U23">
        <v>105</v>
      </c>
      <c r="V23">
        <v>4374859</v>
      </c>
      <c r="W23">
        <v>1333</v>
      </c>
    </row>
    <row r="24" spans="1:23" x14ac:dyDescent="0.3">
      <c r="A24" s="2" t="s">
        <v>40</v>
      </c>
      <c r="B24">
        <v>780736</v>
      </c>
      <c r="C24">
        <v>129</v>
      </c>
      <c r="D24">
        <v>611560</v>
      </c>
      <c r="E24">
        <v>147</v>
      </c>
      <c r="F24">
        <v>229552</v>
      </c>
      <c r="G24">
        <v>121</v>
      </c>
      <c r="H24">
        <v>216426</v>
      </c>
      <c r="I24">
        <v>105</v>
      </c>
      <c r="J24">
        <v>673407</v>
      </c>
      <c r="K24">
        <v>176</v>
      </c>
      <c r="L24">
        <v>307479</v>
      </c>
      <c r="M24">
        <v>208</v>
      </c>
      <c r="N24">
        <v>653706</v>
      </c>
      <c r="O24">
        <v>130</v>
      </c>
      <c r="P24">
        <v>186386</v>
      </c>
      <c r="Q24">
        <v>132</v>
      </c>
      <c r="R24">
        <v>860226</v>
      </c>
      <c r="S24">
        <v>78</v>
      </c>
      <c r="T24">
        <v>139843</v>
      </c>
      <c r="U24">
        <v>84</v>
      </c>
      <c r="V24">
        <v>4659321</v>
      </c>
      <c r="W24">
        <v>1310</v>
      </c>
    </row>
    <row r="25" spans="1:23" x14ac:dyDescent="0.3">
      <c r="A25" s="2" t="s">
        <v>30</v>
      </c>
      <c r="B25">
        <v>767798</v>
      </c>
      <c r="C25">
        <v>74</v>
      </c>
      <c r="D25">
        <v>335133</v>
      </c>
      <c r="E25">
        <v>22</v>
      </c>
      <c r="F25">
        <v>275329</v>
      </c>
      <c r="G25">
        <v>56</v>
      </c>
      <c r="H25">
        <v>877246</v>
      </c>
      <c r="I25">
        <v>116</v>
      </c>
      <c r="J25">
        <v>348533</v>
      </c>
      <c r="K25">
        <v>171</v>
      </c>
      <c r="L25">
        <v>323288</v>
      </c>
      <c r="M25">
        <v>53</v>
      </c>
      <c r="N25">
        <v>331126</v>
      </c>
      <c r="O25">
        <v>46</v>
      </c>
      <c r="P25">
        <v>821321</v>
      </c>
      <c r="Q25">
        <v>185</v>
      </c>
      <c r="R25">
        <v>724696</v>
      </c>
      <c r="S25">
        <v>214</v>
      </c>
      <c r="T25">
        <v>872918</v>
      </c>
      <c r="U25">
        <v>215</v>
      </c>
      <c r="V25">
        <v>5677388</v>
      </c>
      <c r="W25">
        <v>1152</v>
      </c>
    </row>
    <row r="26" spans="1:23" x14ac:dyDescent="0.3">
      <c r="A26" s="2" t="s">
        <v>55</v>
      </c>
      <c r="B26">
        <v>11734183</v>
      </c>
      <c r="C26">
        <v>2493</v>
      </c>
      <c r="D26">
        <v>10326856</v>
      </c>
      <c r="E26">
        <v>2994</v>
      </c>
      <c r="F26">
        <v>8611093</v>
      </c>
      <c r="G26">
        <v>2909</v>
      </c>
      <c r="H26">
        <v>9163186</v>
      </c>
      <c r="I26">
        <v>3006</v>
      </c>
      <c r="J26">
        <v>10167875</v>
      </c>
      <c r="K26">
        <v>3290</v>
      </c>
      <c r="L26">
        <v>10316816</v>
      </c>
      <c r="M26">
        <v>2393</v>
      </c>
      <c r="N26">
        <v>10583252</v>
      </c>
      <c r="O26">
        <v>2387</v>
      </c>
      <c r="P26">
        <v>9973929</v>
      </c>
      <c r="Q26">
        <v>2515</v>
      </c>
      <c r="R26">
        <v>10180215</v>
      </c>
      <c r="S26">
        <v>2465</v>
      </c>
      <c r="T26">
        <v>9200128</v>
      </c>
      <c r="U26">
        <v>2588</v>
      </c>
      <c r="V26">
        <v>100257533</v>
      </c>
      <c r="W26">
        <v>27040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449A4-B4FC-4179-9B7E-C53339C0DA27}">
  <sheetPr codeName="Sheet5"/>
  <dimension ref="A3:B24"/>
  <sheetViews>
    <sheetView zoomScale="87" workbookViewId="0">
      <selection activeCell="H26" sqref="H26"/>
    </sheetView>
  </sheetViews>
  <sheetFormatPr defaultRowHeight="14.4" x14ac:dyDescent="0.3"/>
  <cols>
    <col min="1" max="1" width="17.44140625" bestFit="1" customWidth="1"/>
    <col min="2" max="2" width="25.88671875" bestFit="1" customWidth="1"/>
    <col min="3" max="4" width="5.21875" bestFit="1" customWidth="1"/>
    <col min="5" max="5" width="4.21875" bestFit="1" customWidth="1"/>
    <col min="6" max="7" width="5.21875" bestFit="1" customWidth="1"/>
    <col min="8" max="8" width="10.77734375" bestFit="1" customWidth="1"/>
    <col min="9" max="12" width="5.44140625" bestFit="1" customWidth="1"/>
    <col min="13" max="13" width="4.33203125" bestFit="1" customWidth="1"/>
    <col min="14" max="14" width="11.109375" bestFit="1" customWidth="1"/>
    <col min="15" max="15" width="9" bestFit="1" customWidth="1"/>
    <col min="16" max="16" width="11.5546875" bestFit="1" customWidth="1"/>
    <col min="17" max="17" width="6.44140625" bestFit="1" customWidth="1"/>
    <col min="18" max="18" width="16.109375" bestFit="1" customWidth="1"/>
    <col min="19" max="19" width="10.88671875" bestFit="1" customWidth="1"/>
    <col min="20" max="20" width="4.77734375" bestFit="1" customWidth="1"/>
    <col min="21" max="21" width="9.109375" bestFit="1" customWidth="1"/>
    <col min="22" max="22" width="10.77734375" bestFit="1" customWidth="1"/>
  </cols>
  <sheetData>
    <row r="3" spans="1:2" x14ac:dyDescent="0.3">
      <c r="A3" s="1" t="s">
        <v>54</v>
      </c>
      <c r="B3" t="s">
        <v>59</v>
      </c>
    </row>
    <row r="4" spans="1:2" x14ac:dyDescent="0.3">
      <c r="A4" s="2" t="s">
        <v>33</v>
      </c>
      <c r="B4" s="3">
        <v>4.49</v>
      </c>
    </row>
    <row r="5" spans="1:2" x14ac:dyDescent="0.3">
      <c r="A5" s="2" t="s">
        <v>35</v>
      </c>
      <c r="B5" s="3">
        <v>4.6399999999999997</v>
      </c>
    </row>
    <row r="6" spans="1:2" x14ac:dyDescent="0.3">
      <c r="A6" s="2" t="s">
        <v>22</v>
      </c>
      <c r="B6" s="3">
        <v>4.3800000000000008</v>
      </c>
    </row>
    <row r="7" spans="1:2" x14ac:dyDescent="0.3">
      <c r="A7" s="2" t="s">
        <v>24</v>
      </c>
      <c r="B7" s="3">
        <v>4.49</v>
      </c>
    </row>
    <row r="8" spans="1:2" x14ac:dyDescent="0.3">
      <c r="A8" s="2" t="s">
        <v>27</v>
      </c>
      <c r="B8" s="3">
        <v>4.5599999999999996</v>
      </c>
    </row>
    <row r="9" spans="1:2" x14ac:dyDescent="0.3">
      <c r="A9" s="2" t="s">
        <v>36</v>
      </c>
      <c r="B9" s="3">
        <v>4.42</v>
      </c>
    </row>
    <row r="10" spans="1:2" x14ac:dyDescent="0.3">
      <c r="A10" s="2" t="s">
        <v>41</v>
      </c>
      <c r="B10" s="3">
        <v>4.5599999999999987</v>
      </c>
    </row>
    <row r="11" spans="1:2" x14ac:dyDescent="0.3">
      <c r="A11" s="2" t="s">
        <v>37</v>
      </c>
      <c r="B11" s="3">
        <v>4.5999999999999996</v>
      </c>
    </row>
    <row r="12" spans="1:2" x14ac:dyDescent="0.3">
      <c r="A12" s="2" t="s">
        <v>23</v>
      </c>
      <c r="B12" s="3">
        <v>4.6099999999999994</v>
      </c>
    </row>
    <row r="13" spans="1:2" x14ac:dyDescent="0.3">
      <c r="A13" s="2" t="s">
        <v>39</v>
      </c>
      <c r="B13" s="3">
        <v>4.5500000000000007</v>
      </c>
    </row>
    <row r="14" spans="1:2" x14ac:dyDescent="0.3">
      <c r="A14" s="2" t="s">
        <v>29</v>
      </c>
      <c r="B14" s="3">
        <v>4.6500000000000004</v>
      </c>
    </row>
    <row r="15" spans="1:2" x14ac:dyDescent="0.3">
      <c r="A15" s="2" t="s">
        <v>25</v>
      </c>
      <c r="B15" s="3">
        <v>4.62</v>
      </c>
    </row>
    <row r="16" spans="1:2" x14ac:dyDescent="0.3">
      <c r="A16" s="2" t="s">
        <v>26</v>
      </c>
      <c r="B16" s="3">
        <v>4.63</v>
      </c>
    </row>
    <row r="17" spans="1:2" x14ac:dyDescent="0.3">
      <c r="A17" s="2" t="s">
        <v>28</v>
      </c>
      <c r="B17" s="3">
        <v>4.58</v>
      </c>
    </row>
    <row r="18" spans="1:2" x14ac:dyDescent="0.3">
      <c r="A18" s="2" t="s">
        <v>32</v>
      </c>
      <c r="B18" s="3">
        <v>4.51</v>
      </c>
    </row>
    <row r="19" spans="1:2" x14ac:dyDescent="0.3">
      <c r="A19" s="2" t="s">
        <v>34</v>
      </c>
      <c r="B19" s="3">
        <v>4.7</v>
      </c>
    </row>
    <row r="20" spans="1:2" x14ac:dyDescent="0.3">
      <c r="A20" s="2" t="s">
        <v>38</v>
      </c>
      <c r="B20" s="3">
        <v>4.63</v>
      </c>
    </row>
    <row r="21" spans="1:2" x14ac:dyDescent="0.3">
      <c r="A21" s="2" t="s">
        <v>31</v>
      </c>
      <c r="B21" s="3">
        <v>4.66</v>
      </c>
    </row>
    <row r="22" spans="1:2" x14ac:dyDescent="0.3">
      <c r="A22" s="2" t="s">
        <v>40</v>
      </c>
      <c r="B22" s="3">
        <v>4.5199999999999996</v>
      </c>
    </row>
    <row r="23" spans="1:2" x14ac:dyDescent="0.3">
      <c r="A23" s="2" t="s">
        <v>30</v>
      </c>
      <c r="B23" s="3">
        <v>4.5499999999999989</v>
      </c>
    </row>
    <row r="24" spans="1:2" x14ac:dyDescent="0.3">
      <c r="A24" s="2" t="s">
        <v>55</v>
      </c>
      <c r="B24" s="3">
        <v>4.5674999999999981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E2522-F855-41B3-8D18-2E1EE0B9E41F}">
  <sheetPr codeName="Sheet6"/>
  <dimension ref="A3:L6"/>
  <sheetViews>
    <sheetView tabSelected="1" workbookViewId="0">
      <selection activeCell="F6" sqref="F6"/>
    </sheetView>
  </sheetViews>
  <sheetFormatPr defaultRowHeight="14.4" x14ac:dyDescent="0.3"/>
  <cols>
    <col min="1" max="1" width="15.6640625" bestFit="1" customWidth="1"/>
    <col min="2" max="2" width="15.5546875" bestFit="1" customWidth="1"/>
    <col min="3" max="7" width="6" bestFit="1" customWidth="1"/>
    <col min="8" max="8" width="4" bestFit="1" customWidth="1"/>
    <col min="9" max="11" width="6" bestFit="1" customWidth="1"/>
    <col min="12" max="12" width="10.77734375" bestFit="1" customWidth="1"/>
    <col min="13" max="13" width="4.109375" bestFit="1" customWidth="1"/>
    <col min="14" max="14" width="10.77734375" bestFit="1" customWidth="1"/>
    <col min="15" max="15" width="9" bestFit="1" customWidth="1"/>
    <col min="16" max="16" width="11.5546875" bestFit="1" customWidth="1"/>
    <col min="17" max="17" width="6.44140625" bestFit="1" customWidth="1"/>
    <col min="18" max="18" width="16.109375" bestFit="1" customWidth="1"/>
    <col min="19" max="19" width="10.88671875" bestFit="1" customWidth="1"/>
    <col min="20" max="20" width="4.77734375" bestFit="1" customWidth="1"/>
    <col min="21" max="21" width="9.109375" bestFit="1" customWidth="1"/>
    <col min="22" max="22" width="10.77734375" bestFit="1" customWidth="1"/>
  </cols>
  <sheetData>
    <row r="3" spans="1:12" x14ac:dyDescent="0.3">
      <c r="A3" s="1" t="s">
        <v>56</v>
      </c>
      <c r="B3" s="1" t="s">
        <v>58</v>
      </c>
    </row>
    <row r="4" spans="1:12" x14ac:dyDescent="0.3">
      <c r="A4" s="1" t="s">
        <v>54</v>
      </c>
      <c r="B4" t="s">
        <v>10</v>
      </c>
      <c r="C4" t="s">
        <v>11</v>
      </c>
      <c r="D4" t="s">
        <v>12</v>
      </c>
      <c r="E4" t="s">
        <v>13</v>
      </c>
      <c r="F4" t="s">
        <v>14</v>
      </c>
      <c r="G4" t="s">
        <v>15</v>
      </c>
      <c r="H4" t="s">
        <v>16</v>
      </c>
      <c r="I4" t="s">
        <v>17</v>
      </c>
      <c r="J4" t="s">
        <v>18</v>
      </c>
      <c r="K4" t="s">
        <v>19</v>
      </c>
      <c r="L4" t="s">
        <v>55</v>
      </c>
    </row>
    <row r="5" spans="1:12" x14ac:dyDescent="0.3">
      <c r="A5" s="2">
        <v>2025</v>
      </c>
      <c r="B5">
        <v>146.69999999999999</v>
      </c>
      <c r="C5">
        <v>111.09999999999998</v>
      </c>
      <c r="D5">
        <v>124.2</v>
      </c>
      <c r="E5">
        <v>119.10000000000001</v>
      </c>
      <c r="F5">
        <v>128.60000000000002</v>
      </c>
      <c r="G5">
        <v>117.39999999999999</v>
      </c>
      <c r="H5">
        <v>109</v>
      </c>
      <c r="I5">
        <v>121.40000000000002</v>
      </c>
      <c r="J5">
        <v>107.4</v>
      </c>
      <c r="K5">
        <v>127.1</v>
      </c>
      <c r="L5">
        <v>1212</v>
      </c>
    </row>
    <row r="6" spans="1:12" x14ac:dyDescent="0.3">
      <c r="A6" s="2" t="s">
        <v>55</v>
      </c>
      <c r="B6">
        <v>146.69999999999999</v>
      </c>
      <c r="C6">
        <v>111.09999999999998</v>
      </c>
      <c r="D6">
        <v>124.2</v>
      </c>
      <c r="E6">
        <v>119.10000000000001</v>
      </c>
      <c r="F6">
        <v>128.60000000000002</v>
      </c>
      <c r="G6">
        <v>117.39999999999999</v>
      </c>
      <c r="H6">
        <v>109</v>
      </c>
      <c r="I6">
        <v>121.40000000000002</v>
      </c>
      <c r="J6">
        <v>107.4</v>
      </c>
      <c r="K6">
        <v>127.1</v>
      </c>
      <c r="L6">
        <v>1212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35FB0-A197-4213-9A5A-D203BA6DA461}">
  <dimension ref="A3:E27"/>
  <sheetViews>
    <sheetView workbookViewId="0">
      <selection activeCell="C11" sqref="C11"/>
    </sheetView>
  </sheetViews>
  <sheetFormatPr defaultRowHeight="14.4" x14ac:dyDescent="0.3"/>
  <cols>
    <col min="1" max="1" width="26.44140625" bestFit="1" customWidth="1"/>
    <col min="2" max="2" width="15.6640625" bestFit="1" customWidth="1"/>
    <col min="3" max="3" width="27.77734375" bestFit="1" customWidth="1"/>
    <col min="4" max="4" width="24.77734375" bestFit="1" customWidth="1"/>
    <col min="5" max="6" width="21" bestFit="1" customWidth="1"/>
  </cols>
  <sheetData>
    <row r="3" spans="1:5" x14ac:dyDescent="0.3">
      <c r="A3" t="s">
        <v>57</v>
      </c>
      <c r="B3" t="s">
        <v>56</v>
      </c>
      <c r="C3" t="s">
        <v>61</v>
      </c>
      <c r="D3" t="s">
        <v>59</v>
      </c>
      <c r="E3" t="s">
        <v>63</v>
      </c>
    </row>
    <row r="4" spans="1:5" x14ac:dyDescent="0.3">
      <c r="A4" s="6">
        <v>18190</v>
      </c>
      <c r="B4" s="5">
        <v>1212.0000000000002</v>
      </c>
      <c r="C4">
        <v>27040</v>
      </c>
      <c r="D4" s="3">
        <v>4.5674999999999981</v>
      </c>
      <c r="E4">
        <v>100257533</v>
      </c>
    </row>
    <row r="6" spans="1:5" x14ac:dyDescent="0.3">
      <c r="A6">
        <f>GETPIVOTDATA("Sum of Active Users (Millions)",$A$3)</f>
        <v>18190</v>
      </c>
      <c r="B6" s="5">
        <f>GETPIVOTDATA("Sum of Growth %",$A$3)</f>
        <v>1212.0000000000002</v>
      </c>
      <c r="D6" s="3">
        <f>GETPIVOTDATA("Average of Rating (Out of 5)",$A$3)</f>
        <v>4.5674999999999981</v>
      </c>
    </row>
    <row r="27" spans="1:1" x14ac:dyDescent="0.3">
      <c r="A27">
        <f>A10</f>
        <v>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J441"/>
  <sheetViews>
    <sheetView zoomScale="101" workbookViewId="0">
      <selection activeCell="L10" sqref="L10"/>
    </sheetView>
  </sheetViews>
  <sheetFormatPr defaultRowHeight="14.4" x14ac:dyDescent="0.3"/>
  <cols>
    <col min="2" max="2" width="11.88671875" customWidth="1"/>
    <col min="3" max="3" width="10.109375" customWidth="1"/>
    <col min="4" max="4" width="17.5546875" customWidth="1"/>
    <col min="5" max="5" width="16.21875" customWidth="1"/>
    <col min="6" max="6" width="20.5546875" customWidth="1"/>
    <col min="7" max="7" width="16.5546875" customWidth="1"/>
    <col min="8" max="8" width="22.6640625" customWidth="1"/>
    <col min="9" max="9" width="26.33203125" customWidth="1"/>
    <col min="10" max="10" width="19.33203125" customWidth="1"/>
  </cols>
  <sheetData>
    <row r="1" spans="1:10" x14ac:dyDescent="0.3">
      <c r="A1" s="7" t="s">
        <v>0</v>
      </c>
      <c r="B1" s="7" t="s">
        <v>1</v>
      </c>
      <c r="C1" s="7" t="s">
        <v>2</v>
      </c>
      <c r="D1" s="7" t="s">
        <v>3</v>
      </c>
      <c r="E1" s="7" t="s">
        <v>4</v>
      </c>
      <c r="F1" s="7" t="s">
        <v>5</v>
      </c>
      <c r="G1" s="7" t="s">
        <v>6</v>
      </c>
      <c r="H1" s="7" t="s">
        <v>7</v>
      </c>
      <c r="I1" s="7" t="s">
        <v>8</v>
      </c>
      <c r="J1" s="7" t="s">
        <v>9</v>
      </c>
    </row>
    <row r="2" spans="1:10" x14ac:dyDescent="0.3">
      <c r="A2">
        <v>1</v>
      </c>
      <c r="B2" t="s">
        <v>10</v>
      </c>
      <c r="C2">
        <v>2024</v>
      </c>
      <c r="D2" t="s">
        <v>22</v>
      </c>
      <c r="E2" t="s">
        <v>42</v>
      </c>
      <c r="F2">
        <v>66</v>
      </c>
      <c r="G2">
        <v>4.5999999999999996</v>
      </c>
      <c r="H2">
        <v>726127</v>
      </c>
      <c r="I2">
        <v>176</v>
      </c>
      <c r="J2">
        <v>4.5999999999999996</v>
      </c>
    </row>
    <row r="3" spans="1:10" x14ac:dyDescent="0.3">
      <c r="A3">
        <v>2</v>
      </c>
      <c r="B3" t="s">
        <v>11</v>
      </c>
      <c r="C3">
        <v>2024</v>
      </c>
      <c r="D3" t="s">
        <v>22</v>
      </c>
      <c r="E3" t="s">
        <v>42</v>
      </c>
      <c r="F3">
        <v>66</v>
      </c>
      <c r="G3">
        <v>6.4</v>
      </c>
      <c r="H3">
        <v>452346</v>
      </c>
      <c r="I3">
        <v>190</v>
      </c>
      <c r="J3">
        <v>4.5999999999999996</v>
      </c>
    </row>
    <row r="4" spans="1:10" x14ac:dyDescent="0.3">
      <c r="A4">
        <v>3</v>
      </c>
      <c r="B4" t="s">
        <v>12</v>
      </c>
      <c r="C4">
        <v>2024</v>
      </c>
      <c r="D4" t="s">
        <v>22</v>
      </c>
      <c r="E4" t="s">
        <v>42</v>
      </c>
      <c r="F4">
        <v>66</v>
      </c>
      <c r="G4">
        <v>3.4</v>
      </c>
      <c r="H4">
        <v>276432</v>
      </c>
      <c r="I4">
        <v>190</v>
      </c>
      <c r="J4">
        <v>4.5999999999999996</v>
      </c>
    </row>
    <row r="5" spans="1:10" x14ac:dyDescent="0.3">
      <c r="A5">
        <v>4</v>
      </c>
      <c r="B5" t="s">
        <v>13</v>
      </c>
      <c r="C5">
        <v>2024</v>
      </c>
      <c r="D5" t="s">
        <v>22</v>
      </c>
      <c r="E5" t="s">
        <v>42</v>
      </c>
      <c r="F5">
        <v>66</v>
      </c>
      <c r="G5">
        <v>3.4</v>
      </c>
      <c r="H5">
        <v>667558</v>
      </c>
      <c r="I5">
        <v>46</v>
      </c>
      <c r="J5">
        <v>4.8</v>
      </c>
    </row>
    <row r="6" spans="1:10" x14ac:dyDescent="0.3">
      <c r="A6">
        <v>5</v>
      </c>
      <c r="B6" t="s">
        <v>14</v>
      </c>
      <c r="C6">
        <v>2024</v>
      </c>
      <c r="D6" t="s">
        <v>22</v>
      </c>
      <c r="E6" t="s">
        <v>42</v>
      </c>
      <c r="F6">
        <v>66</v>
      </c>
      <c r="G6">
        <v>7.5</v>
      </c>
      <c r="H6">
        <v>658157</v>
      </c>
      <c r="I6">
        <v>150</v>
      </c>
      <c r="J6">
        <v>4.4000000000000004</v>
      </c>
    </row>
    <row r="7" spans="1:10" x14ac:dyDescent="0.3">
      <c r="A7">
        <v>6</v>
      </c>
      <c r="B7" t="s">
        <v>15</v>
      </c>
      <c r="C7">
        <v>2024</v>
      </c>
      <c r="D7" t="s">
        <v>22</v>
      </c>
      <c r="E7" t="s">
        <v>42</v>
      </c>
      <c r="F7">
        <v>66</v>
      </c>
      <c r="G7">
        <v>9.1999999999999993</v>
      </c>
      <c r="H7">
        <v>587580</v>
      </c>
      <c r="I7">
        <v>81</v>
      </c>
      <c r="J7">
        <v>4.7</v>
      </c>
    </row>
    <row r="8" spans="1:10" x14ac:dyDescent="0.3">
      <c r="A8">
        <v>7</v>
      </c>
      <c r="B8" t="s">
        <v>16</v>
      </c>
      <c r="C8">
        <v>2024</v>
      </c>
      <c r="D8" t="s">
        <v>22</v>
      </c>
      <c r="E8" t="s">
        <v>42</v>
      </c>
      <c r="F8">
        <v>66</v>
      </c>
      <c r="G8">
        <v>8.8000000000000007</v>
      </c>
      <c r="H8">
        <v>217556</v>
      </c>
      <c r="I8">
        <v>128</v>
      </c>
      <c r="J8">
        <v>4.7</v>
      </c>
    </row>
    <row r="9" spans="1:10" x14ac:dyDescent="0.3">
      <c r="A9">
        <v>8</v>
      </c>
      <c r="B9" t="s">
        <v>17</v>
      </c>
      <c r="C9">
        <v>2024</v>
      </c>
      <c r="D9" t="s">
        <v>22</v>
      </c>
      <c r="E9" t="s">
        <v>42</v>
      </c>
      <c r="F9">
        <v>66</v>
      </c>
      <c r="G9">
        <v>4.8</v>
      </c>
      <c r="H9">
        <v>451335</v>
      </c>
      <c r="I9">
        <v>105</v>
      </c>
      <c r="J9">
        <v>4.2</v>
      </c>
    </row>
    <row r="10" spans="1:10" x14ac:dyDescent="0.3">
      <c r="A10">
        <v>9</v>
      </c>
      <c r="B10" t="s">
        <v>18</v>
      </c>
      <c r="C10">
        <v>2024</v>
      </c>
      <c r="D10" t="s">
        <v>22</v>
      </c>
      <c r="E10" t="s">
        <v>42</v>
      </c>
      <c r="F10">
        <v>66</v>
      </c>
      <c r="G10">
        <v>9.3000000000000007</v>
      </c>
      <c r="H10">
        <v>152494</v>
      </c>
      <c r="I10">
        <v>190</v>
      </c>
      <c r="J10">
        <v>4.5999999999999996</v>
      </c>
    </row>
    <row r="11" spans="1:10" x14ac:dyDescent="0.3">
      <c r="A11">
        <v>10</v>
      </c>
      <c r="B11" t="s">
        <v>19</v>
      </c>
      <c r="C11">
        <v>2024</v>
      </c>
      <c r="D11" t="s">
        <v>22</v>
      </c>
      <c r="E11" t="s">
        <v>42</v>
      </c>
      <c r="F11">
        <v>66</v>
      </c>
      <c r="G11">
        <v>5.3</v>
      </c>
      <c r="H11">
        <v>102260</v>
      </c>
      <c r="I11">
        <v>46</v>
      </c>
      <c r="J11">
        <v>4.5999999999999996</v>
      </c>
    </row>
    <row r="12" spans="1:10" x14ac:dyDescent="0.3">
      <c r="A12">
        <v>11</v>
      </c>
      <c r="B12" t="s">
        <v>20</v>
      </c>
      <c r="C12">
        <v>2024</v>
      </c>
      <c r="D12" t="s">
        <v>22</v>
      </c>
      <c r="E12" t="s">
        <v>42</v>
      </c>
      <c r="F12">
        <v>66</v>
      </c>
      <c r="G12">
        <v>7.6</v>
      </c>
      <c r="H12">
        <v>475845</v>
      </c>
      <c r="I12">
        <v>101</v>
      </c>
      <c r="J12">
        <v>4.4000000000000004</v>
      </c>
    </row>
    <row r="13" spans="1:10" x14ac:dyDescent="0.3">
      <c r="A13">
        <v>12</v>
      </c>
      <c r="B13" t="s">
        <v>21</v>
      </c>
      <c r="C13">
        <v>2024</v>
      </c>
      <c r="D13" t="s">
        <v>22</v>
      </c>
      <c r="E13" t="s">
        <v>42</v>
      </c>
      <c r="F13">
        <v>66</v>
      </c>
      <c r="G13">
        <v>8.5</v>
      </c>
      <c r="H13">
        <v>109693</v>
      </c>
      <c r="I13">
        <v>163</v>
      </c>
      <c r="J13">
        <v>4.5999999999999996</v>
      </c>
    </row>
    <row r="14" spans="1:10" x14ac:dyDescent="0.3">
      <c r="A14">
        <v>13</v>
      </c>
      <c r="B14" t="s">
        <v>10</v>
      </c>
      <c r="C14">
        <v>2024</v>
      </c>
      <c r="D14" t="s">
        <v>23</v>
      </c>
      <c r="E14" t="s">
        <v>42</v>
      </c>
      <c r="F14">
        <v>75</v>
      </c>
      <c r="G14">
        <v>2.6</v>
      </c>
      <c r="H14">
        <v>336324</v>
      </c>
      <c r="I14">
        <v>131</v>
      </c>
      <c r="J14">
        <v>4.7</v>
      </c>
    </row>
    <row r="15" spans="1:10" x14ac:dyDescent="0.3">
      <c r="A15">
        <v>14</v>
      </c>
      <c r="B15" t="s">
        <v>11</v>
      </c>
      <c r="C15">
        <v>2024</v>
      </c>
      <c r="D15" t="s">
        <v>23</v>
      </c>
      <c r="E15" t="s">
        <v>42</v>
      </c>
      <c r="F15">
        <v>75</v>
      </c>
      <c r="G15">
        <v>6.8</v>
      </c>
      <c r="H15">
        <v>627903</v>
      </c>
      <c r="I15">
        <v>121</v>
      </c>
      <c r="J15">
        <v>4.5</v>
      </c>
    </row>
    <row r="16" spans="1:10" x14ac:dyDescent="0.3">
      <c r="A16">
        <v>15</v>
      </c>
      <c r="B16" t="s">
        <v>12</v>
      </c>
      <c r="C16">
        <v>2024</v>
      </c>
      <c r="D16" t="s">
        <v>23</v>
      </c>
      <c r="E16" t="s">
        <v>42</v>
      </c>
      <c r="F16">
        <v>75</v>
      </c>
      <c r="G16">
        <v>9.1</v>
      </c>
      <c r="H16">
        <v>198186</v>
      </c>
      <c r="I16">
        <v>53</v>
      </c>
      <c r="J16">
        <v>4.8</v>
      </c>
    </row>
    <row r="17" spans="1:10" x14ac:dyDescent="0.3">
      <c r="A17">
        <v>16</v>
      </c>
      <c r="B17" t="s">
        <v>13</v>
      </c>
      <c r="C17">
        <v>2024</v>
      </c>
      <c r="D17" t="s">
        <v>23</v>
      </c>
      <c r="E17" t="s">
        <v>42</v>
      </c>
      <c r="F17">
        <v>75</v>
      </c>
      <c r="G17">
        <v>2</v>
      </c>
      <c r="H17">
        <v>815911</v>
      </c>
      <c r="I17">
        <v>26</v>
      </c>
      <c r="J17">
        <v>4.3</v>
      </c>
    </row>
    <row r="18" spans="1:10" x14ac:dyDescent="0.3">
      <c r="A18">
        <v>17</v>
      </c>
      <c r="B18" t="s">
        <v>14</v>
      </c>
      <c r="C18">
        <v>2024</v>
      </c>
      <c r="D18" t="s">
        <v>23</v>
      </c>
      <c r="E18" t="s">
        <v>42</v>
      </c>
      <c r="F18">
        <v>75</v>
      </c>
      <c r="G18">
        <v>2.2000000000000002</v>
      </c>
      <c r="H18">
        <v>197783</v>
      </c>
      <c r="I18">
        <v>62</v>
      </c>
      <c r="J18">
        <v>4.8</v>
      </c>
    </row>
    <row r="19" spans="1:10" x14ac:dyDescent="0.3">
      <c r="A19">
        <v>18</v>
      </c>
      <c r="B19" t="s">
        <v>15</v>
      </c>
      <c r="C19">
        <v>2024</v>
      </c>
      <c r="D19" t="s">
        <v>23</v>
      </c>
      <c r="E19" t="s">
        <v>42</v>
      </c>
      <c r="F19">
        <v>75</v>
      </c>
      <c r="G19">
        <v>2.8</v>
      </c>
      <c r="H19">
        <v>641411</v>
      </c>
      <c r="I19">
        <v>233</v>
      </c>
      <c r="J19">
        <v>4.5</v>
      </c>
    </row>
    <row r="20" spans="1:10" x14ac:dyDescent="0.3">
      <c r="A20">
        <v>19</v>
      </c>
      <c r="B20" t="s">
        <v>16</v>
      </c>
      <c r="C20">
        <v>2024</v>
      </c>
      <c r="D20" t="s">
        <v>23</v>
      </c>
      <c r="E20" t="s">
        <v>42</v>
      </c>
      <c r="F20">
        <v>75</v>
      </c>
      <c r="G20">
        <v>3.8</v>
      </c>
      <c r="H20">
        <v>570945</v>
      </c>
      <c r="I20">
        <v>184</v>
      </c>
      <c r="J20">
        <v>4.4000000000000004</v>
      </c>
    </row>
    <row r="21" spans="1:10" x14ac:dyDescent="0.3">
      <c r="A21">
        <v>20</v>
      </c>
      <c r="B21" t="s">
        <v>17</v>
      </c>
      <c r="C21">
        <v>2024</v>
      </c>
      <c r="D21" t="s">
        <v>23</v>
      </c>
      <c r="E21" t="s">
        <v>42</v>
      </c>
      <c r="F21">
        <v>75</v>
      </c>
      <c r="G21">
        <v>5.4</v>
      </c>
      <c r="H21">
        <v>180760</v>
      </c>
      <c r="I21">
        <v>74</v>
      </c>
      <c r="J21">
        <v>4.4000000000000004</v>
      </c>
    </row>
    <row r="22" spans="1:10" x14ac:dyDescent="0.3">
      <c r="A22">
        <v>21</v>
      </c>
      <c r="B22" t="s">
        <v>18</v>
      </c>
      <c r="C22">
        <v>2024</v>
      </c>
      <c r="D22" t="s">
        <v>23</v>
      </c>
      <c r="E22" t="s">
        <v>42</v>
      </c>
      <c r="F22">
        <v>75</v>
      </c>
      <c r="G22">
        <v>8.1</v>
      </c>
      <c r="H22">
        <v>367374</v>
      </c>
      <c r="I22">
        <v>28</v>
      </c>
      <c r="J22">
        <v>4.3</v>
      </c>
    </row>
    <row r="23" spans="1:10" x14ac:dyDescent="0.3">
      <c r="A23">
        <v>22</v>
      </c>
      <c r="B23" t="s">
        <v>19</v>
      </c>
      <c r="C23">
        <v>2024</v>
      </c>
      <c r="D23" t="s">
        <v>23</v>
      </c>
      <c r="E23" t="s">
        <v>42</v>
      </c>
      <c r="F23">
        <v>75</v>
      </c>
      <c r="G23">
        <v>9.5</v>
      </c>
      <c r="H23">
        <v>723349</v>
      </c>
      <c r="I23">
        <v>87</v>
      </c>
      <c r="J23">
        <v>4.2</v>
      </c>
    </row>
    <row r="24" spans="1:10" x14ac:dyDescent="0.3">
      <c r="A24">
        <v>23</v>
      </c>
      <c r="B24" t="s">
        <v>20</v>
      </c>
      <c r="C24">
        <v>2024</v>
      </c>
      <c r="D24" t="s">
        <v>23</v>
      </c>
      <c r="E24" t="s">
        <v>42</v>
      </c>
      <c r="F24">
        <v>75</v>
      </c>
      <c r="G24">
        <v>7.4</v>
      </c>
      <c r="H24">
        <v>495547</v>
      </c>
      <c r="I24">
        <v>48</v>
      </c>
      <c r="J24">
        <v>4.8</v>
      </c>
    </row>
    <row r="25" spans="1:10" x14ac:dyDescent="0.3">
      <c r="A25">
        <v>24</v>
      </c>
      <c r="B25" t="s">
        <v>21</v>
      </c>
      <c r="C25">
        <v>2024</v>
      </c>
      <c r="D25" t="s">
        <v>23</v>
      </c>
      <c r="E25" t="s">
        <v>42</v>
      </c>
      <c r="F25">
        <v>75</v>
      </c>
      <c r="G25">
        <v>4.2</v>
      </c>
      <c r="H25">
        <v>725081</v>
      </c>
      <c r="I25">
        <v>241</v>
      </c>
      <c r="J25">
        <v>4.4000000000000004</v>
      </c>
    </row>
    <row r="26" spans="1:10" x14ac:dyDescent="0.3">
      <c r="A26">
        <v>25</v>
      </c>
      <c r="B26" t="s">
        <v>10</v>
      </c>
      <c r="C26">
        <v>2024</v>
      </c>
      <c r="D26" t="s">
        <v>24</v>
      </c>
      <c r="E26" t="s">
        <v>42</v>
      </c>
      <c r="F26">
        <v>65</v>
      </c>
      <c r="G26">
        <v>7.7</v>
      </c>
      <c r="H26">
        <v>793715</v>
      </c>
      <c r="I26">
        <v>104</v>
      </c>
      <c r="J26">
        <v>4.7</v>
      </c>
    </row>
    <row r="27" spans="1:10" x14ac:dyDescent="0.3">
      <c r="A27">
        <v>26</v>
      </c>
      <c r="B27" t="s">
        <v>11</v>
      </c>
      <c r="C27">
        <v>2024</v>
      </c>
      <c r="D27" t="s">
        <v>24</v>
      </c>
      <c r="E27" t="s">
        <v>42</v>
      </c>
      <c r="F27">
        <v>65</v>
      </c>
      <c r="G27">
        <v>8.3000000000000007</v>
      </c>
      <c r="H27">
        <v>545153</v>
      </c>
      <c r="I27">
        <v>49</v>
      </c>
      <c r="J27">
        <v>4.5</v>
      </c>
    </row>
    <row r="28" spans="1:10" x14ac:dyDescent="0.3">
      <c r="A28">
        <v>27</v>
      </c>
      <c r="B28" t="s">
        <v>12</v>
      </c>
      <c r="C28">
        <v>2024</v>
      </c>
      <c r="D28" t="s">
        <v>24</v>
      </c>
      <c r="E28" t="s">
        <v>42</v>
      </c>
      <c r="F28">
        <v>65</v>
      </c>
      <c r="G28">
        <v>7.3</v>
      </c>
      <c r="H28">
        <v>653343</v>
      </c>
      <c r="I28">
        <v>141</v>
      </c>
      <c r="J28">
        <v>4.3</v>
      </c>
    </row>
    <row r="29" spans="1:10" x14ac:dyDescent="0.3">
      <c r="A29">
        <v>28</v>
      </c>
      <c r="B29" t="s">
        <v>13</v>
      </c>
      <c r="C29">
        <v>2024</v>
      </c>
      <c r="D29" t="s">
        <v>24</v>
      </c>
      <c r="E29" t="s">
        <v>42</v>
      </c>
      <c r="F29">
        <v>65</v>
      </c>
      <c r="G29">
        <v>7.4</v>
      </c>
      <c r="H29">
        <v>443541</v>
      </c>
      <c r="I29">
        <v>30</v>
      </c>
      <c r="J29">
        <v>4.5999999999999996</v>
      </c>
    </row>
    <row r="30" spans="1:10" x14ac:dyDescent="0.3">
      <c r="A30">
        <v>29</v>
      </c>
      <c r="B30" t="s">
        <v>14</v>
      </c>
      <c r="C30">
        <v>2024</v>
      </c>
      <c r="D30" t="s">
        <v>24</v>
      </c>
      <c r="E30" t="s">
        <v>42</v>
      </c>
      <c r="F30">
        <v>65</v>
      </c>
      <c r="G30">
        <v>2.2000000000000002</v>
      </c>
      <c r="H30">
        <v>339141</v>
      </c>
      <c r="I30">
        <v>115</v>
      </c>
      <c r="J30">
        <v>4.9000000000000004</v>
      </c>
    </row>
    <row r="31" spans="1:10" x14ac:dyDescent="0.3">
      <c r="A31">
        <v>30</v>
      </c>
      <c r="B31" t="s">
        <v>15</v>
      </c>
      <c r="C31">
        <v>2024</v>
      </c>
      <c r="D31" t="s">
        <v>24</v>
      </c>
      <c r="E31" t="s">
        <v>42</v>
      </c>
      <c r="F31">
        <v>65</v>
      </c>
      <c r="G31">
        <v>7.6</v>
      </c>
      <c r="H31">
        <v>705552</v>
      </c>
      <c r="I31">
        <v>48</v>
      </c>
      <c r="J31">
        <v>4.8</v>
      </c>
    </row>
    <row r="32" spans="1:10" x14ac:dyDescent="0.3">
      <c r="A32">
        <v>31</v>
      </c>
      <c r="B32" t="s">
        <v>16</v>
      </c>
      <c r="C32">
        <v>2024</v>
      </c>
      <c r="D32" t="s">
        <v>24</v>
      </c>
      <c r="E32" t="s">
        <v>42</v>
      </c>
      <c r="F32">
        <v>65</v>
      </c>
      <c r="G32">
        <v>7</v>
      </c>
      <c r="H32">
        <v>844121</v>
      </c>
      <c r="I32">
        <v>200</v>
      </c>
      <c r="J32">
        <v>4.7</v>
      </c>
    </row>
    <row r="33" spans="1:10" x14ac:dyDescent="0.3">
      <c r="A33">
        <v>32</v>
      </c>
      <c r="B33" t="s">
        <v>17</v>
      </c>
      <c r="C33">
        <v>2024</v>
      </c>
      <c r="D33" t="s">
        <v>24</v>
      </c>
      <c r="E33" t="s">
        <v>42</v>
      </c>
      <c r="F33">
        <v>65</v>
      </c>
      <c r="G33">
        <v>4.7</v>
      </c>
      <c r="H33">
        <v>297336</v>
      </c>
      <c r="I33">
        <v>220</v>
      </c>
      <c r="J33">
        <v>4.7</v>
      </c>
    </row>
    <row r="34" spans="1:10" x14ac:dyDescent="0.3">
      <c r="A34">
        <v>33</v>
      </c>
      <c r="B34" t="s">
        <v>18</v>
      </c>
      <c r="C34">
        <v>2024</v>
      </c>
      <c r="D34" t="s">
        <v>24</v>
      </c>
      <c r="E34" t="s">
        <v>42</v>
      </c>
      <c r="F34">
        <v>65</v>
      </c>
      <c r="G34">
        <v>6.6</v>
      </c>
      <c r="H34">
        <v>311049</v>
      </c>
      <c r="I34">
        <v>101</v>
      </c>
      <c r="J34">
        <v>4.4000000000000004</v>
      </c>
    </row>
    <row r="35" spans="1:10" x14ac:dyDescent="0.3">
      <c r="A35">
        <v>34</v>
      </c>
      <c r="B35" t="s">
        <v>19</v>
      </c>
      <c r="C35">
        <v>2024</v>
      </c>
      <c r="D35" t="s">
        <v>24</v>
      </c>
      <c r="E35" t="s">
        <v>42</v>
      </c>
      <c r="F35">
        <v>65</v>
      </c>
      <c r="G35">
        <v>4.3</v>
      </c>
      <c r="H35">
        <v>130901</v>
      </c>
      <c r="I35">
        <v>85</v>
      </c>
      <c r="J35">
        <v>4.3</v>
      </c>
    </row>
    <row r="36" spans="1:10" x14ac:dyDescent="0.3">
      <c r="A36">
        <v>35</v>
      </c>
      <c r="B36" t="s">
        <v>20</v>
      </c>
      <c r="C36">
        <v>2024</v>
      </c>
      <c r="D36" t="s">
        <v>24</v>
      </c>
      <c r="E36" t="s">
        <v>42</v>
      </c>
      <c r="F36">
        <v>65</v>
      </c>
      <c r="G36">
        <v>4.8</v>
      </c>
      <c r="H36">
        <v>434776</v>
      </c>
      <c r="I36">
        <v>179</v>
      </c>
      <c r="J36">
        <v>4.8</v>
      </c>
    </row>
    <row r="37" spans="1:10" x14ac:dyDescent="0.3">
      <c r="A37">
        <v>36</v>
      </c>
      <c r="B37" t="s">
        <v>21</v>
      </c>
      <c r="C37">
        <v>2024</v>
      </c>
      <c r="D37" t="s">
        <v>24</v>
      </c>
      <c r="E37" t="s">
        <v>42</v>
      </c>
      <c r="F37">
        <v>65</v>
      </c>
      <c r="G37">
        <v>7.8</v>
      </c>
      <c r="H37">
        <v>291722</v>
      </c>
      <c r="I37">
        <v>242</v>
      </c>
      <c r="J37">
        <v>4.8</v>
      </c>
    </row>
    <row r="38" spans="1:10" x14ac:dyDescent="0.3">
      <c r="A38">
        <v>37</v>
      </c>
      <c r="B38" t="s">
        <v>10</v>
      </c>
      <c r="C38">
        <v>2024</v>
      </c>
      <c r="D38" t="s">
        <v>25</v>
      </c>
      <c r="E38" t="s">
        <v>43</v>
      </c>
      <c r="F38">
        <v>140</v>
      </c>
      <c r="G38">
        <v>8.8000000000000007</v>
      </c>
      <c r="H38">
        <v>653937</v>
      </c>
      <c r="I38">
        <v>220</v>
      </c>
      <c r="J38">
        <v>4.3</v>
      </c>
    </row>
    <row r="39" spans="1:10" x14ac:dyDescent="0.3">
      <c r="A39">
        <v>38</v>
      </c>
      <c r="B39" t="s">
        <v>11</v>
      </c>
      <c r="C39">
        <v>2024</v>
      </c>
      <c r="D39" t="s">
        <v>25</v>
      </c>
      <c r="E39" t="s">
        <v>43</v>
      </c>
      <c r="F39">
        <v>140</v>
      </c>
      <c r="G39">
        <v>4.9000000000000004</v>
      </c>
      <c r="H39">
        <v>233193</v>
      </c>
      <c r="I39">
        <v>213</v>
      </c>
      <c r="J39">
        <v>4.4000000000000004</v>
      </c>
    </row>
    <row r="40" spans="1:10" x14ac:dyDescent="0.3">
      <c r="A40">
        <v>39</v>
      </c>
      <c r="B40" t="s">
        <v>12</v>
      </c>
      <c r="C40">
        <v>2024</v>
      </c>
      <c r="D40" t="s">
        <v>25</v>
      </c>
      <c r="E40" t="s">
        <v>43</v>
      </c>
      <c r="F40">
        <v>140</v>
      </c>
      <c r="G40">
        <v>9.8000000000000007</v>
      </c>
      <c r="H40">
        <v>565776</v>
      </c>
      <c r="I40">
        <v>243</v>
      </c>
      <c r="J40">
        <v>4.5</v>
      </c>
    </row>
    <row r="41" spans="1:10" x14ac:dyDescent="0.3">
      <c r="A41">
        <v>40</v>
      </c>
      <c r="B41" t="s">
        <v>13</v>
      </c>
      <c r="C41">
        <v>2024</v>
      </c>
      <c r="D41" t="s">
        <v>25</v>
      </c>
      <c r="E41" t="s">
        <v>43</v>
      </c>
      <c r="F41">
        <v>140</v>
      </c>
      <c r="G41">
        <v>2.7</v>
      </c>
      <c r="H41">
        <v>482500</v>
      </c>
      <c r="I41">
        <v>197</v>
      </c>
      <c r="J41">
        <v>4.9000000000000004</v>
      </c>
    </row>
    <row r="42" spans="1:10" x14ac:dyDescent="0.3">
      <c r="A42">
        <v>41</v>
      </c>
      <c r="B42" t="s">
        <v>14</v>
      </c>
      <c r="C42">
        <v>2024</v>
      </c>
      <c r="D42" t="s">
        <v>25</v>
      </c>
      <c r="E42" t="s">
        <v>43</v>
      </c>
      <c r="F42">
        <v>140</v>
      </c>
      <c r="G42">
        <v>4.4000000000000004</v>
      </c>
      <c r="H42">
        <v>190661</v>
      </c>
      <c r="I42">
        <v>87</v>
      </c>
      <c r="J42">
        <v>4.2</v>
      </c>
    </row>
    <row r="43" spans="1:10" x14ac:dyDescent="0.3">
      <c r="A43">
        <v>42</v>
      </c>
      <c r="B43" t="s">
        <v>15</v>
      </c>
      <c r="C43">
        <v>2024</v>
      </c>
      <c r="D43" t="s">
        <v>25</v>
      </c>
      <c r="E43" t="s">
        <v>43</v>
      </c>
      <c r="F43">
        <v>140</v>
      </c>
      <c r="G43">
        <v>9.9</v>
      </c>
      <c r="H43">
        <v>664359</v>
      </c>
      <c r="I43">
        <v>61</v>
      </c>
      <c r="J43">
        <v>4.3</v>
      </c>
    </row>
    <row r="44" spans="1:10" x14ac:dyDescent="0.3">
      <c r="A44">
        <v>43</v>
      </c>
      <c r="B44" t="s">
        <v>16</v>
      </c>
      <c r="C44">
        <v>2024</v>
      </c>
      <c r="D44" t="s">
        <v>25</v>
      </c>
      <c r="E44" t="s">
        <v>43</v>
      </c>
      <c r="F44">
        <v>140</v>
      </c>
      <c r="G44">
        <v>7.9</v>
      </c>
      <c r="H44">
        <v>246958</v>
      </c>
      <c r="I44">
        <v>205</v>
      </c>
      <c r="J44">
        <v>4.4000000000000004</v>
      </c>
    </row>
    <row r="45" spans="1:10" x14ac:dyDescent="0.3">
      <c r="A45">
        <v>44</v>
      </c>
      <c r="B45" t="s">
        <v>17</v>
      </c>
      <c r="C45">
        <v>2024</v>
      </c>
      <c r="D45" t="s">
        <v>25</v>
      </c>
      <c r="E45" t="s">
        <v>43</v>
      </c>
      <c r="F45">
        <v>140</v>
      </c>
      <c r="G45">
        <v>8.4</v>
      </c>
      <c r="H45">
        <v>261181</v>
      </c>
      <c r="I45">
        <v>204</v>
      </c>
      <c r="J45">
        <v>4.9000000000000004</v>
      </c>
    </row>
    <row r="46" spans="1:10" x14ac:dyDescent="0.3">
      <c r="A46">
        <v>45</v>
      </c>
      <c r="B46" t="s">
        <v>18</v>
      </c>
      <c r="C46">
        <v>2024</v>
      </c>
      <c r="D46" t="s">
        <v>25</v>
      </c>
      <c r="E46" t="s">
        <v>43</v>
      </c>
      <c r="F46">
        <v>140</v>
      </c>
      <c r="G46">
        <v>4.2</v>
      </c>
      <c r="H46">
        <v>455005</v>
      </c>
      <c r="I46">
        <v>160</v>
      </c>
      <c r="J46">
        <v>4.7</v>
      </c>
    </row>
    <row r="47" spans="1:10" x14ac:dyDescent="0.3">
      <c r="A47">
        <v>46</v>
      </c>
      <c r="B47" t="s">
        <v>19</v>
      </c>
      <c r="C47">
        <v>2024</v>
      </c>
      <c r="D47" t="s">
        <v>25</v>
      </c>
      <c r="E47" t="s">
        <v>43</v>
      </c>
      <c r="F47">
        <v>140</v>
      </c>
      <c r="G47">
        <v>7.2</v>
      </c>
      <c r="H47">
        <v>750967</v>
      </c>
      <c r="I47">
        <v>144</v>
      </c>
      <c r="J47">
        <v>4.5</v>
      </c>
    </row>
    <row r="48" spans="1:10" x14ac:dyDescent="0.3">
      <c r="A48">
        <v>47</v>
      </c>
      <c r="B48" t="s">
        <v>20</v>
      </c>
      <c r="C48">
        <v>2024</v>
      </c>
      <c r="D48" t="s">
        <v>25</v>
      </c>
      <c r="E48" t="s">
        <v>43</v>
      </c>
      <c r="F48">
        <v>140</v>
      </c>
      <c r="G48">
        <v>8.1999999999999993</v>
      </c>
      <c r="H48">
        <v>182287</v>
      </c>
      <c r="I48">
        <v>229</v>
      </c>
      <c r="J48">
        <v>4.2</v>
      </c>
    </row>
    <row r="49" spans="1:10" x14ac:dyDescent="0.3">
      <c r="A49">
        <v>48</v>
      </c>
      <c r="B49" t="s">
        <v>21</v>
      </c>
      <c r="C49">
        <v>2024</v>
      </c>
      <c r="D49" t="s">
        <v>25</v>
      </c>
      <c r="E49" t="s">
        <v>43</v>
      </c>
      <c r="F49">
        <v>140</v>
      </c>
      <c r="G49">
        <v>2.7</v>
      </c>
      <c r="H49">
        <v>118895</v>
      </c>
      <c r="I49">
        <v>200</v>
      </c>
      <c r="J49">
        <v>4.5999999999999996</v>
      </c>
    </row>
    <row r="50" spans="1:10" x14ac:dyDescent="0.3">
      <c r="A50">
        <v>49</v>
      </c>
      <c r="B50" t="s">
        <v>10</v>
      </c>
      <c r="C50">
        <v>2024</v>
      </c>
      <c r="D50" t="s">
        <v>26</v>
      </c>
      <c r="E50" t="s">
        <v>44</v>
      </c>
      <c r="F50">
        <v>38</v>
      </c>
      <c r="G50">
        <v>8.1</v>
      </c>
      <c r="H50">
        <v>201279</v>
      </c>
      <c r="I50">
        <v>58</v>
      </c>
      <c r="J50">
        <v>4.4000000000000004</v>
      </c>
    </row>
    <row r="51" spans="1:10" x14ac:dyDescent="0.3">
      <c r="A51">
        <v>50</v>
      </c>
      <c r="B51" t="s">
        <v>11</v>
      </c>
      <c r="C51">
        <v>2024</v>
      </c>
      <c r="D51" t="s">
        <v>26</v>
      </c>
      <c r="E51" t="s">
        <v>44</v>
      </c>
      <c r="F51">
        <v>38</v>
      </c>
      <c r="G51">
        <v>5.2</v>
      </c>
      <c r="H51">
        <v>112903</v>
      </c>
      <c r="I51">
        <v>136</v>
      </c>
      <c r="J51">
        <v>4.7</v>
      </c>
    </row>
    <row r="52" spans="1:10" x14ac:dyDescent="0.3">
      <c r="A52">
        <v>51</v>
      </c>
      <c r="B52" t="s">
        <v>12</v>
      </c>
      <c r="C52">
        <v>2024</v>
      </c>
      <c r="D52" t="s">
        <v>26</v>
      </c>
      <c r="E52" t="s">
        <v>44</v>
      </c>
      <c r="F52">
        <v>38</v>
      </c>
      <c r="G52">
        <v>9.6999999999999993</v>
      </c>
      <c r="H52">
        <v>740732</v>
      </c>
      <c r="I52">
        <v>95</v>
      </c>
      <c r="J52">
        <v>4.8</v>
      </c>
    </row>
    <row r="53" spans="1:10" x14ac:dyDescent="0.3">
      <c r="A53">
        <v>52</v>
      </c>
      <c r="B53" t="s">
        <v>13</v>
      </c>
      <c r="C53">
        <v>2024</v>
      </c>
      <c r="D53" t="s">
        <v>26</v>
      </c>
      <c r="E53" t="s">
        <v>44</v>
      </c>
      <c r="F53">
        <v>38</v>
      </c>
      <c r="G53">
        <v>8.6999999999999993</v>
      </c>
      <c r="H53">
        <v>720398</v>
      </c>
      <c r="I53">
        <v>88</v>
      </c>
      <c r="J53">
        <v>4.9000000000000004</v>
      </c>
    </row>
    <row r="54" spans="1:10" x14ac:dyDescent="0.3">
      <c r="A54">
        <v>53</v>
      </c>
      <c r="B54" t="s">
        <v>14</v>
      </c>
      <c r="C54">
        <v>2024</v>
      </c>
      <c r="D54" t="s">
        <v>26</v>
      </c>
      <c r="E54" t="s">
        <v>44</v>
      </c>
      <c r="F54">
        <v>38</v>
      </c>
      <c r="G54">
        <v>2.4</v>
      </c>
      <c r="H54">
        <v>353816</v>
      </c>
      <c r="I54">
        <v>204</v>
      </c>
      <c r="J54">
        <v>4.4000000000000004</v>
      </c>
    </row>
    <row r="55" spans="1:10" x14ac:dyDescent="0.3">
      <c r="A55">
        <v>54</v>
      </c>
      <c r="B55" t="s">
        <v>15</v>
      </c>
      <c r="C55">
        <v>2024</v>
      </c>
      <c r="D55" t="s">
        <v>26</v>
      </c>
      <c r="E55" t="s">
        <v>44</v>
      </c>
      <c r="F55">
        <v>38</v>
      </c>
      <c r="G55">
        <v>4.0999999999999996</v>
      </c>
      <c r="H55">
        <v>483875</v>
      </c>
      <c r="I55">
        <v>121</v>
      </c>
      <c r="J55">
        <v>4.5</v>
      </c>
    </row>
    <row r="56" spans="1:10" x14ac:dyDescent="0.3">
      <c r="A56">
        <v>55</v>
      </c>
      <c r="B56" t="s">
        <v>16</v>
      </c>
      <c r="C56">
        <v>2024</v>
      </c>
      <c r="D56" t="s">
        <v>26</v>
      </c>
      <c r="E56" t="s">
        <v>44</v>
      </c>
      <c r="F56">
        <v>38</v>
      </c>
      <c r="G56">
        <v>6.4</v>
      </c>
      <c r="H56">
        <v>364490</v>
      </c>
      <c r="I56">
        <v>130</v>
      </c>
      <c r="J56">
        <v>4.3</v>
      </c>
    </row>
    <row r="57" spans="1:10" x14ac:dyDescent="0.3">
      <c r="A57">
        <v>56</v>
      </c>
      <c r="B57" t="s">
        <v>17</v>
      </c>
      <c r="C57">
        <v>2024</v>
      </c>
      <c r="D57" t="s">
        <v>26</v>
      </c>
      <c r="E57" t="s">
        <v>44</v>
      </c>
      <c r="F57">
        <v>38</v>
      </c>
      <c r="G57">
        <v>2.2000000000000002</v>
      </c>
      <c r="H57">
        <v>570285</v>
      </c>
      <c r="I57">
        <v>50</v>
      </c>
      <c r="J57">
        <v>4.9000000000000004</v>
      </c>
    </row>
    <row r="58" spans="1:10" x14ac:dyDescent="0.3">
      <c r="A58">
        <v>57</v>
      </c>
      <c r="B58" t="s">
        <v>18</v>
      </c>
      <c r="C58">
        <v>2024</v>
      </c>
      <c r="D58" t="s">
        <v>26</v>
      </c>
      <c r="E58" t="s">
        <v>44</v>
      </c>
      <c r="F58">
        <v>38</v>
      </c>
      <c r="G58">
        <v>4.7</v>
      </c>
      <c r="H58">
        <v>330846</v>
      </c>
      <c r="I58">
        <v>115</v>
      </c>
      <c r="J58">
        <v>4.5</v>
      </c>
    </row>
    <row r="59" spans="1:10" x14ac:dyDescent="0.3">
      <c r="A59">
        <v>58</v>
      </c>
      <c r="B59" t="s">
        <v>19</v>
      </c>
      <c r="C59">
        <v>2024</v>
      </c>
      <c r="D59" t="s">
        <v>26</v>
      </c>
      <c r="E59" t="s">
        <v>44</v>
      </c>
      <c r="F59">
        <v>38</v>
      </c>
      <c r="G59">
        <v>9.6999999999999993</v>
      </c>
      <c r="H59">
        <v>755432</v>
      </c>
      <c r="I59">
        <v>30</v>
      </c>
      <c r="J59">
        <v>4.5</v>
      </c>
    </row>
    <row r="60" spans="1:10" x14ac:dyDescent="0.3">
      <c r="A60">
        <v>59</v>
      </c>
      <c r="B60" t="s">
        <v>20</v>
      </c>
      <c r="C60">
        <v>2024</v>
      </c>
      <c r="D60" t="s">
        <v>26</v>
      </c>
      <c r="E60" t="s">
        <v>44</v>
      </c>
      <c r="F60">
        <v>38</v>
      </c>
      <c r="G60">
        <v>5.4</v>
      </c>
      <c r="H60">
        <v>329965</v>
      </c>
      <c r="I60">
        <v>182</v>
      </c>
      <c r="J60">
        <v>4.7</v>
      </c>
    </row>
    <row r="61" spans="1:10" x14ac:dyDescent="0.3">
      <c r="A61">
        <v>60</v>
      </c>
      <c r="B61" t="s">
        <v>21</v>
      </c>
      <c r="C61">
        <v>2024</v>
      </c>
      <c r="D61" t="s">
        <v>26</v>
      </c>
      <c r="E61" t="s">
        <v>44</v>
      </c>
      <c r="F61">
        <v>38</v>
      </c>
      <c r="G61">
        <v>9.1999999999999993</v>
      </c>
      <c r="H61">
        <v>658457</v>
      </c>
      <c r="I61">
        <v>30</v>
      </c>
      <c r="J61">
        <v>4.7</v>
      </c>
    </row>
    <row r="62" spans="1:10" x14ac:dyDescent="0.3">
      <c r="A62">
        <v>61</v>
      </c>
      <c r="B62" t="s">
        <v>10</v>
      </c>
      <c r="C62">
        <v>2024</v>
      </c>
      <c r="D62" t="s">
        <v>27</v>
      </c>
      <c r="E62" t="s">
        <v>44</v>
      </c>
      <c r="F62">
        <v>30</v>
      </c>
      <c r="G62">
        <v>9.4</v>
      </c>
      <c r="H62">
        <v>561403</v>
      </c>
      <c r="I62">
        <v>191</v>
      </c>
      <c r="J62">
        <v>4.8</v>
      </c>
    </row>
    <row r="63" spans="1:10" x14ac:dyDescent="0.3">
      <c r="A63">
        <v>62</v>
      </c>
      <c r="B63" t="s">
        <v>11</v>
      </c>
      <c r="C63">
        <v>2024</v>
      </c>
      <c r="D63" t="s">
        <v>27</v>
      </c>
      <c r="E63" t="s">
        <v>44</v>
      </c>
      <c r="F63">
        <v>30</v>
      </c>
      <c r="G63">
        <v>6</v>
      </c>
      <c r="H63">
        <v>126194</v>
      </c>
      <c r="I63">
        <v>153</v>
      </c>
      <c r="J63">
        <v>4.3</v>
      </c>
    </row>
    <row r="64" spans="1:10" x14ac:dyDescent="0.3">
      <c r="A64">
        <v>63</v>
      </c>
      <c r="B64" t="s">
        <v>12</v>
      </c>
      <c r="C64">
        <v>2024</v>
      </c>
      <c r="D64" t="s">
        <v>27</v>
      </c>
      <c r="E64" t="s">
        <v>44</v>
      </c>
      <c r="F64">
        <v>30</v>
      </c>
      <c r="G64">
        <v>4.7</v>
      </c>
      <c r="H64">
        <v>550019</v>
      </c>
      <c r="I64">
        <v>151</v>
      </c>
      <c r="J64">
        <v>4.7</v>
      </c>
    </row>
    <row r="65" spans="1:10" x14ac:dyDescent="0.3">
      <c r="A65">
        <v>64</v>
      </c>
      <c r="B65" t="s">
        <v>13</v>
      </c>
      <c r="C65">
        <v>2024</v>
      </c>
      <c r="D65" t="s">
        <v>27</v>
      </c>
      <c r="E65" t="s">
        <v>44</v>
      </c>
      <c r="F65">
        <v>30</v>
      </c>
      <c r="G65">
        <v>9</v>
      </c>
      <c r="H65">
        <v>652851</v>
      </c>
      <c r="I65">
        <v>159</v>
      </c>
      <c r="J65">
        <v>4.7</v>
      </c>
    </row>
    <row r="66" spans="1:10" x14ac:dyDescent="0.3">
      <c r="A66">
        <v>65</v>
      </c>
      <c r="B66" t="s">
        <v>14</v>
      </c>
      <c r="C66">
        <v>2024</v>
      </c>
      <c r="D66" t="s">
        <v>27</v>
      </c>
      <c r="E66" t="s">
        <v>44</v>
      </c>
      <c r="F66">
        <v>30</v>
      </c>
      <c r="G66">
        <v>6.9</v>
      </c>
      <c r="H66">
        <v>571024</v>
      </c>
      <c r="I66">
        <v>84</v>
      </c>
      <c r="J66">
        <v>4.9000000000000004</v>
      </c>
    </row>
    <row r="67" spans="1:10" x14ac:dyDescent="0.3">
      <c r="A67">
        <v>66</v>
      </c>
      <c r="B67" t="s">
        <v>15</v>
      </c>
      <c r="C67">
        <v>2024</v>
      </c>
      <c r="D67" t="s">
        <v>27</v>
      </c>
      <c r="E67" t="s">
        <v>44</v>
      </c>
      <c r="F67">
        <v>30</v>
      </c>
      <c r="G67">
        <v>8.4</v>
      </c>
      <c r="H67">
        <v>431391</v>
      </c>
      <c r="I67">
        <v>98</v>
      </c>
      <c r="J67">
        <v>4.7</v>
      </c>
    </row>
    <row r="68" spans="1:10" x14ac:dyDescent="0.3">
      <c r="A68">
        <v>67</v>
      </c>
      <c r="B68" t="s">
        <v>16</v>
      </c>
      <c r="C68">
        <v>2024</v>
      </c>
      <c r="D68" t="s">
        <v>27</v>
      </c>
      <c r="E68" t="s">
        <v>44</v>
      </c>
      <c r="F68">
        <v>30</v>
      </c>
      <c r="G68">
        <v>2.9</v>
      </c>
      <c r="H68">
        <v>642828</v>
      </c>
      <c r="I68">
        <v>126</v>
      </c>
      <c r="J68">
        <v>4.5</v>
      </c>
    </row>
    <row r="69" spans="1:10" x14ac:dyDescent="0.3">
      <c r="A69">
        <v>68</v>
      </c>
      <c r="B69" t="s">
        <v>17</v>
      </c>
      <c r="C69">
        <v>2024</v>
      </c>
      <c r="D69" t="s">
        <v>27</v>
      </c>
      <c r="E69" t="s">
        <v>44</v>
      </c>
      <c r="F69">
        <v>30</v>
      </c>
      <c r="G69">
        <v>4.5</v>
      </c>
      <c r="H69">
        <v>676781</v>
      </c>
      <c r="I69">
        <v>81</v>
      </c>
      <c r="J69">
        <v>4.7</v>
      </c>
    </row>
    <row r="70" spans="1:10" x14ac:dyDescent="0.3">
      <c r="A70">
        <v>69</v>
      </c>
      <c r="B70" t="s">
        <v>18</v>
      </c>
      <c r="C70">
        <v>2024</v>
      </c>
      <c r="D70" t="s">
        <v>27</v>
      </c>
      <c r="E70" t="s">
        <v>44</v>
      </c>
      <c r="F70">
        <v>30</v>
      </c>
      <c r="G70">
        <v>5.3</v>
      </c>
      <c r="H70">
        <v>706101</v>
      </c>
      <c r="I70">
        <v>26</v>
      </c>
      <c r="J70">
        <v>4.4000000000000004</v>
      </c>
    </row>
    <row r="71" spans="1:10" x14ac:dyDescent="0.3">
      <c r="A71">
        <v>70</v>
      </c>
      <c r="B71" t="s">
        <v>19</v>
      </c>
      <c r="C71">
        <v>2024</v>
      </c>
      <c r="D71" t="s">
        <v>27</v>
      </c>
      <c r="E71" t="s">
        <v>44</v>
      </c>
      <c r="F71">
        <v>30</v>
      </c>
      <c r="G71">
        <v>5.6</v>
      </c>
      <c r="H71">
        <v>423469</v>
      </c>
      <c r="I71">
        <v>156</v>
      </c>
      <c r="J71">
        <v>4.7</v>
      </c>
    </row>
    <row r="72" spans="1:10" x14ac:dyDescent="0.3">
      <c r="A72">
        <v>71</v>
      </c>
      <c r="B72" t="s">
        <v>20</v>
      </c>
      <c r="C72">
        <v>2024</v>
      </c>
      <c r="D72" t="s">
        <v>27</v>
      </c>
      <c r="E72" t="s">
        <v>44</v>
      </c>
      <c r="F72">
        <v>30</v>
      </c>
      <c r="G72">
        <v>2.6</v>
      </c>
      <c r="H72">
        <v>484536</v>
      </c>
      <c r="I72">
        <v>120</v>
      </c>
      <c r="J72">
        <v>4.3</v>
      </c>
    </row>
    <row r="73" spans="1:10" x14ac:dyDescent="0.3">
      <c r="A73">
        <v>72</v>
      </c>
      <c r="B73" t="s">
        <v>21</v>
      </c>
      <c r="C73">
        <v>2024</v>
      </c>
      <c r="D73" t="s">
        <v>27</v>
      </c>
      <c r="E73" t="s">
        <v>44</v>
      </c>
      <c r="F73">
        <v>30</v>
      </c>
      <c r="G73">
        <v>2.7</v>
      </c>
      <c r="H73">
        <v>600517</v>
      </c>
      <c r="I73">
        <v>221</v>
      </c>
      <c r="J73">
        <v>4.9000000000000004</v>
      </c>
    </row>
    <row r="74" spans="1:10" x14ac:dyDescent="0.3">
      <c r="A74">
        <v>73</v>
      </c>
      <c r="B74" t="s">
        <v>10</v>
      </c>
      <c r="C74">
        <v>2024</v>
      </c>
      <c r="D74" t="s">
        <v>28</v>
      </c>
      <c r="E74" t="s">
        <v>45</v>
      </c>
      <c r="F74">
        <v>100</v>
      </c>
      <c r="G74">
        <v>7.4</v>
      </c>
      <c r="H74">
        <v>703230</v>
      </c>
      <c r="I74">
        <v>248</v>
      </c>
      <c r="J74">
        <v>4.5999999999999996</v>
      </c>
    </row>
    <row r="75" spans="1:10" x14ac:dyDescent="0.3">
      <c r="A75">
        <v>74</v>
      </c>
      <c r="B75" t="s">
        <v>11</v>
      </c>
      <c r="C75">
        <v>2024</v>
      </c>
      <c r="D75" t="s">
        <v>28</v>
      </c>
      <c r="E75" t="s">
        <v>45</v>
      </c>
      <c r="F75">
        <v>100</v>
      </c>
      <c r="G75">
        <v>4.5</v>
      </c>
      <c r="H75">
        <v>815865</v>
      </c>
      <c r="I75">
        <v>151</v>
      </c>
      <c r="J75">
        <v>4.2</v>
      </c>
    </row>
    <row r="76" spans="1:10" x14ac:dyDescent="0.3">
      <c r="A76">
        <v>75</v>
      </c>
      <c r="B76" t="s">
        <v>12</v>
      </c>
      <c r="C76">
        <v>2024</v>
      </c>
      <c r="D76" t="s">
        <v>28</v>
      </c>
      <c r="E76" t="s">
        <v>45</v>
      </c>
      <c r="F76">
        <v>100</v>
      </c>
      <c r="G76">
        <v>2.5</v>
      </c>
      <c r="H76">
        <v>696519</v>
      </c>
      <c r="I76">
        <v>225</v>
      </c>
      <c r="J76">
        <v>4.5</v>
      </c>
    </row>
    <row r="77" spans="1:10" x14ac:dyDescent="0.3">
      <c r="A77">
        <v>76</v>
      </c>
      <c r="B77" t="s">
        <v>13</v>
      </c>
      <c r="C77">
        <v>2024</v>
      </c>
      <c r="D77" t="s">
        <v>28</v>
      </c>
      <c r="E77" t="s">
        <v>45</v>
      </c>
      <c r="F77">
        <v>100</v>
      </c>
      <c r="G77">
        <v>3.4</v>
      </c>
      <c r="H77">
        <v>218921</v>
      </c>
      <c r="I77">
        <v>121</v>
      </c>
      <c r="J77">
        <v>4.5</v>
      </c>
    </row>
    <row r="78" spans="1:10" x14ac:dyDescent="0.3">
      <c r="A78">
        <v>77</v>
      </c>
      <c r="B78" t="s">
        <v>14</v>
      </c>
      <c r="C78">
        <v>2024</v>
      </c>
      <c r="D78" t="s">
        <v>28</v>
      </c>
      <c r="E78" t="s">
        <v>45</v>
      </c>
      <c r="F78">
        <v>100</v>
      </c>
      <c r="G78">
        <v>4.5</v>
      </c>
      <c r="H78">
        <v>305910</v>
      </c>
      <c r="I78">
        <v>132</v>
      </c>
      <c r="J78">
        <v>4.4000000000000004</v>
      </c>
    </row>
    <row r="79" spans="1:10" x14ac:dyDescent="0.3">
      <c r="A79">
        <v>78</v>
      </c>
      <c r="B79" t="s">
        <v>15</v>
      </c>
      <c r="C79">
        <v>2024</v>
      </c>
      <c r="D79" t="s">
        <v>28</v>
      </c>
      <c r="E79" t="s">
        <v>45</v>
      </c>
      <c r="F79">
        <v>100</v>
      </c>
      <c r="G79">
        <v>4.4000000000000004</v>
      </c>
      <c r="H79">
        <v>344535</v>
      </c>
      <c r="I79">
        <v>164</v>
      </c>
      <c r="J79">
        <v>4.4000000000000004</v>
      </c>
    </row>
    <row r="80" spans="1:10" x14ac:dyDescent="0.3">
      <c r="A80">
        <v>79</v>
      </c>
      <c r="B80" t="s">
        <v>16</v>
      </c>
      <c r="C80">
        <v>2024</v>
      </c>
      <c r="D80" t="s">
        <v>28</v>
      </c>
      <c r="E80" t="s">
        <v>45</v>
      </c>
      <c r="F80">
        <v>100</v>
      </c>
      <c r="G80">
        <v>4.4000000000000004</v>
      </c>
      <c r="H80">
        <v>261149</v>
      </c>
      <c r="I80">
        <v>43</v>
      </c>
      <c r="J80">
        <v>4.5999999999999996</v>
      </c>
    </row>
    <row r="81" spans="1:10" x14ac:dyDescent="0.3">
      <c r="A81">
        <v>80</v>
      </c>
      <c r="B81" t="s">
        <v>17</v>
      </c>
      <c r="C81">
        <v>2024</v>
      </c>
      <c r="D81" t="s">
        <v>28</v>
      </c>
      <c r="E81" t="s">
        <v>45</v>
      </c>
      <c r="F81">
        <v>100</v>
      </c>
      <c r="G81">
        <v>5.7</v>
      </c>
      <c r="H81">
        <v>774705</v>
      </c>
      <c r="I81">
        <v>246</v>
      </c>
      <c r="J81">
        <v>4.5999999999999996</v>
      </c>
    </row>
    <row r="82" spans="1:10" x14ac:dyDescent="0.3">
      <c r="A82">
        <v>81</v>
      </c>
      <c r="B82" t="s">
        <v>18</v>
      </c>
      <c r="C82">
        <v>2024</v>
      </c>
      <c r="D82" t="s">
        <v>28</v>
      </c>
      <c r="E82" t="s">
        <v>45</v>
      </c>
      <c r="F82">
        <v>100</v>
      </c>
      <c r="G82">
        <v>8.6999999999999993</v>
      </c>
      <c r="H82">
        <v>743646</v>
      </c>
      <c r="I82">
        <v>120</v>
      </c>
      <c r="J82">
        <v>4.9000000000000004</v>
      </c>
    </row>
    <row r="83" spans="1:10" x14ac:dyDescent="0.3">
      <c r="A83">
        <v>82</v>
      </c>
      <c r="B83" t="s">
        <v>19</v>
      </c>
      <c r="C83">
        <v>2024</v>
      </c>
      <c r="D83" t="s">
        <v>28</v>
      </c>
      <c r="E83" t="s">
        <v>45</v>
      </c>
      <c r="F83">
        <v>100</v>
      </c>
      <c r="G83">
        <v>8.8000000000000007</v>
      </c>
      <c r="H83">
        <v>595379</v>
      </c>
      <c r="I83">
        <v>83</v>
      </c>
      <c r="J83">
        <v>4.5999999999999996</v>
      </c>
    </row>
    <row r="84" spans="1:10" x14ac:dyDescent="0.3">
      <c r="A84">
        <v>83</v>
      </c>
      <c r="B84" t="s">
        <v>20</v>
      </c>
      <c r="C84">
        <v>2024</v>
      </c>
      <c r="D84" t="s">
        <v>28</v>
      </c>
      <c r="E84" t="s">
        <v>45</v>
      </c>
      <c r="F84">
        <v>100</v>
      </c>
      <c r="G84">
        <v>7.2</v>
      </c>
      <c r="H84">
        <v>407786</v>
      </c>
      <c r="I84">
        <v>148</v>
      </c>
      <c r="J84">
        <v>4.5999999999999996</v>
      </c>
    </row>
    <row r="85" spans="1:10" x14ac:dyDescent="0.3">
      <c r="A85">
        <v>84</v>
      </c>
      <c r="B85" t="s">
        <v>21</v>
      </c>
      <c r="C85">
        <v>2024</v>
      </c>
      <c r="D85" t="s">
        <v>28</v>
      </c>
      <c r="E85" t="s">
        <v>45</v>
      </c>
      <c r="F85">
        <v>100</v>
      </c>
      <c r="G85">
        <v>3.9</v>
      </c>
      <c r="H85">
        <v>428466</v>
      </c>
      <c r="I85">
        <v>194</v>
      </c>
      <c r="J85">
        <v>4.7</v>
      </c>
    </row>
    <row r="86" spans="1:10" x14ac:dyDescent="0.3">
      <c r="A86">
        <v>85</v>
      </c>
      <c r="B86" t="s">
        <v>10</v>
      </c>
      <c r="C86">
        <v>2024</v>
      </c>
      <c r="D86" t="s">
        <v>29</v>
      </c>
      <c r="E86" t="s">
        <v>46</v>
      </c>
      <c r="F86">
        <v>146</v>
      </c>
      <c r="G86">
        <v>5.2</v>
      </c>
      <c r="H86">
        <v>379740</v>
      </c>
      <c r="I86">
        <v>46</v>
      </c>
      <c r="J86">
        <v>4.4000000000000004</v>
      </c>
    </row>
    <row r="87" spans="1:10" x14ac:dyDescent="0.3">
      <c r="A87">
        <v>86</v>
      </c>
      <c r="B87" t="s">
        <v>11</v>
      </c>
      <c r="C87">
        <v>2024</v>
      </c>
      <c r="D87" t="s">
        <v>29</v>
      </c>
      <c r="E87" t="s">
        <v>46</v>
      </c>
      <c r="F87">
        <v>146</v>
      </c>
      <c r="G87">
        <v>3.9</v>
      </c>
      <c r="H87">
        <v>482961</v>
      </c>
      <c r="I87">
        <v>122</v>
      </c>
      <c r="J87">
        <v>4.4000000000000004</v>
      </c>
    </row>
    <row r="88" spans="1:10" x14ac:dyDescent="0.3">
      <c r="A88">
        <v>87</v>
      </c>
      <c r="B88" t="s">
        <v>12</v>
      </c>
      <c r="C88">
        <v>2024</v>
      </c>
      <c r="D88" t="s">
        <v>29</v>
      </c>
      <c r="E88" t="s">
        <v>46</v>
      </c>
      <c r="F88">
        <v>146</v>
      </c>
      <c r="G88">
        <v>2.7</v>
      </c>
      <c r="H88">
        <v>653478</v>
      </c>
      <c r="I88">
        <v>170</v>
      </c>
      <c r="J88">
        <v>4.8</v>
      </c>
    </row>
    <row r="89" spans="1:10" x14ac:dyDescent="0.3">
      <c r="A89">
        <v>88</v>
      </c>
      <c r="B89" t="s">
        <v>13</v>
      </c>
      <c r="C89">
        <v>2024</v>
      </c>
      <c r="D89" t="s">
        <v>29</v>
      </c>
      <c r="E89" t="s">
        <v>46</v>
      </c>
      <c r="F89">
        <v>146</v>
      </c>
      <c r="G89">
        <v>5.9</v>
      </c>
      <c r="H89">
        <v>213302</v>
      </c>
      <c r="I89">
        <v>41</v>
      </c>
      <c r="J89">
        <v>4.5</v>
      </c>
    </row>
    <row r="90" spans="1:10" x14ac:dyDescent="0.3">
      <c r="A90">
        <v>89</v>
      </c>
      <c r="B90" t="s">
        <v>14</v>
      </c>
      <c r="C90">
        <v>2024</v>
      </c>
      <c r="D90" t="s">
        <v>29</v>
      </c>
      <c r="E90" t="s">
        <v>46</v>
      </c>
      <c r="F90">
        <v>146</v>
      </c>
      <c r="G90">
        <v>4</v>
      </c>
      <c r="H90">
        <v>780552</v>
      </c>
      <c r="I90">
        <v>82</v>
      </c>
      <c r="J90">
        <v>4.5</v>
      </c>
    </row>
    <row r="91" spans="1:10" x14ac:dyDescent="0.3">
      <c r="A91">
        <v>90</v>
      </c>
      <c r="B91" t="s">
        <v>15</v>
      </c>
      <c r="C91">
        <v>2024</v>
      </c>
      <c r="D91" t="s">
        <v>29</v>
      </c>
      <c r="E91" t="s">
        <v>46</v>
      </c>
      <c r="F91">
        <v>146</v>
      </c>
      <c r="G91">
        <v>5.7</v>
      </c>
      <c r="H91">
        <v>789355</v>
      </c>
      <c r="I91">
        <v>129</v>
      </c>
      <c r="J91">
        <v>4.9000000000000004</v>
      </c>
    </row>
    <row r="92" spans="1:10" x14ac:dyDescent="0.3">
      <c r="A92">
        <v>91</v>
      </c>
      <c r="B92" t="s">
        <v>16</v>
      </c>
      <c r="C92">
        <v>2024</v>
      </c>
      <c r="D92" t="s">
        <v>29</v>
      </c>
      <c r="E92" t="s">
        <v>46</v>
      </c>
      <c r="F92">
        <v>146</v>
      </c>
      <c r="G92">
        <v>5.6</v>
      </c>
      <c r="H92">
        <v>284829</v>
      </c>
      <c r="I92">
        <v>101</v>
      </c>
      <c r="J92">
        <v>4.2</v>
      </c>
    </row>
    <row r="93" spans="1:10" x14ac:dyDescent="0.3">
      <c r="A93">
        <v>92</v>
      </c>
      <c r="B93" t="s">
        <v>17</v>
      </c>
      <c r="C93">
        <v>2024</v>
      </c>
      <c r="D93" t="s">
        <v>29</v>
      </c>
      <c r="E93" t="s">
        <v>46</v>
      </c>
      <c r="F93">
        <v>146</v>
      </c>
      <c r="G93">
        <v>5.3</v>
      </c>
      <c r="H93">
        <v>177579</v>
      </c>
      <c r="I93">
        <v>129</v>
      </c>
      <c r="J93">
        <v>4.7</v>
      </c>
    </row>
    <row r="94" spans="1:10" x14ac:dyDescent="0.3">
      <c r="A94">
        <v>93</v>
      </c>
      <c r="B94" t="s">
        <v>18</v>
      </c>
      <c r="C94">
        <v>2024</v>
      </c>
      <c r="D94" t="s">
        <v>29</v>
      </c>
      <c r="E94" t="s">
        <v>46</v>
      </c>
      <c r="F94">
        <v>146</v>
      </c>
      <c r="G94">
        <v>7.4</v>
      </c>
      <c r="H94">
        <v>653111</v>
      </c>
      <c r="I94">
        <v>143</v>
      </c>
      <c r="J94">
        <v>4.2</v>
      </c>
    </row>
    <row r="95" spans="1:10" x14ac:dyDescent="0.3">
      <c r="A95">
        <v>94</v>
      </c>
      <c r="B95" t="s">
        <v>19</v>
      </c>
      <c r="C95">
        <v>2024</v>
      </c>
      <c r="D95" t="s">
        <v>29</v>
      </c>
      <c r="E95" t="s">
        <v>46</v>
      </c>
      <c r="F95">
        <v>146</v>
      </c>
      <c r="G95">
        <v>6.1</v>
      </c>
      <c r="H95">
        <v>640631</v>
      </c>
      <c r="I95">
        <v>92</v>
      </c>
      <c r="J95">
        <v>4.7</v>
      </c>
    </row>
    <row r="96" spans="1:10" x14ac:dyDescent="0.3">
      <c r="A96">
        <v>95</v>
      </c>
      <c r="B96" t="s">
        <v>20</v>
      </c>
      <c r="C96">
        <v>2024</v>
      </c>
      <c r="D96" t="s">
        <v>29</v>
      </c>
      <c r="E96" t="s">
        <v>46</v>
      </c>
      <c r="F96">
        <v>146</v>
      </c>
      <c r="G96">
        <v>9.3000000000000007</v>
      </c>
      <c r="H96">
        <v>358319</v>
      </c>
      <c r="I96">
        <v>116</v>
      </c>
      <c r="J96">
        <v>4.8</v>
      </c>
    </row>
    <row r="97" spans="1:10" x14ac:dyDescent="0.3">
      <c r="A97">
        <v>96</v>
      </c>
      <c r="B97" t="s">
        <v>21</v>
      </c>
      <c r="C97">
        <v>2024</v>
      </c>
      <c r="D97" t="s">
        <v>29</v>
      </c>
      <c r="E97" t="s">
        <v>46</v>
      </c>
      <c r="F97">
        <v>146</v>
      </c>
      <c r="G97">
        <v>5.8</v>
      </c>
      <c r="H97">
        <v>263669</v>
      </c>
      <c r="I97">
        <v>244</v>
      </c>
      <c r="J97">
        <v>4.8</v>
      </c>
    </row>
    <row r="98" spans="1:10" x14ac:dyDescent="0.3">
      <c r="A98">
        <v>97</v>
      </c>
      <c r="B98" t="s">
        <v>10</v>
      </c>
      <c r="C98">
        <v>2024</v>
      </c>
      <c r="D98" t="s">
        <v>30</v>
      </c>
      <c r="E98" t="s">
        <v>47</v>
      </c>
      <c r="F98">
        <v>173</v>
      </c>
      <c r="G98">
        <v>5</v>
      </c>
      <c r="H98">
        <v>691282</v>
      </c>
      <c r="I98">
        <v>194</v>
      </c>
      <c r="J98">
        <v>4.5999999999999996</v>
      </c>
    </row>
    <row r="99" spans="1:10" x14ac:dyDescent="0.3">
      <c r="A99">
        <v>98</v>
      </c>
      <c r="B99" t="s">
        <v>11</v>
      </c>
      <c r="C99">
        <v>2024</v>
      </c>
      <c r="D99" t="s">
        <v>30</v>
      </c>
      <c r="E99" t="s">
        <v>47</v>
      </c>
      <c r="F99">
        <v>173</v>
      </c>
      <c r="G99">
        <v>9.1999999999999993</v>
      </c>
      <c r="H99">
        <v>889490</v>
      </c>
      <c r="I99">
        <v>184</v>
      </c>
      <c r="J99">
        <v>4.2</v>
      </c>
    </row>
    <row r="100" spans="1:10" x14ac:dyDescent="0.3">
      <c r="A100">
        <v>99</v>
      </c>
      <c r="B100" t="s">
        <v>12</v>
      </c>
      <c r="C100">
        <v>2024</v>
      </c>
      <c r="D100" t="s">
        <v>30</v>
      </c>
      <c r="E100" t="s">
        <v>47</v>
      </c>
      <c r="F100">
        <v>173</v>
      </c>
      <c r="G100">
        <v>2.8</v>
      </c>
      <c r="H100">
        <v>614020</v>
      </c>
      <c r="I100">
        <v>118</v>
      </c>
      <c r="J100">
        <v>4.4000000000000004</v>
      </c>
    </row>
    <row r="101" spans="1:10" x14ac:dyDescent="0.3">
      <c r="A101">
        <v>100</v>
      </c>
      <c r="B101" t="s">
        <v>13</v>
      </c>
      <c r="C101">
        <v>2024</v>
      </c>
      <c r="D101" t="s">
        <v>30</v>
      </c>
      <c r="E101" t="s">
        <v>47</v>
      </c>
      <c r="F101">
        <v>173</v>
      </c>
      <c r="G101">
        <v>3.3</v>
      </c>
      <c r="H101">
        <v>238733</v>
      </c>
      <c r="I101">
        <v>71</v>
      </c>
      <c r="J101">
        <v>4.8</v>
      </c>
    </row>
    <row r="102" spans="1:10" x14ac:dyDescent="0.3">
      <c r="A102">
        <v>101</v>
      </c>
      <c r="B102" t="s">
        <v>14</v>
      </c>
      <c r="C102">
        <v>2024</v>
      </c>
      <c r="D102" t="s">
        <v>30</v>
      </c>
      <c r="E102" t="s">
        <v>47</v>
      </c>
      <c r="F102">
        <v>173</v>
      </c>
      <c r="G102">
        <v>2.2999999999999998</v>
      </c>
      <c r="H102">
        <v>189948</v>
      </c>
      <c r="I102">
        <v>187</v>
      </c>
      <c r="J102">
        <v>4.7</v>
      </c>
    </row>
    <row r="103" spans="1:10" x14ac:dyDescent="0.3">
      <c r="A103">
        <v>102</v>
      </c>
      <c r="B103" t="s">
        <v>15</v>
      </c>
      <c r="C103">
        <v>2024</v>
      </c>
      <c r="D103" t="s">
        <v>30</v>
      </c>
      <c r="E103" t="s">
        <v>47</v>
      </c>
      <c r="F103">
        <v>173</v>
      </c>
      <c r="G103">
        <v>8.6</v>
      </c>
      <c r="H103">
        <v>743826</v>
      </c>
      <c r="I103">
        <v>55</v>
      </c>
      <c r="J103">
        <v>4.2</v>
      </c>
    </row>
    <row r="104" spans="1:10" x14ac:dyDescent="0.3">
      <c r="A104">
        <v>103</v>
      </c>
      <c r="B104" t="s">
        <v>16</v>
      </c>
      <c r="C104">
        <v>2024</v>
      </c>
      <c r="D104" t="s">
        <v>30</v>
      </c>
      <c r="E104" t="s">
        <v>47</v>
      </c>
      <c r="F104">
        <v>173</v>
      </c>
      <c r="G104">
        <v>5.4</v>
      </c>
      <c r="H104">
        <v>894426</v>
      </c>
      <c r="I104">
        <v>75</v>
      </c>
      <c r="J104">
        <v>4.3</v>
      </c>
    </row>
    <row r="105" spans="1:10" x14ac:dyDescent="0.3">
      <c r="A105">
        <v>104</v>
      </c>
      <c r="B105" t="s">
        <v>17</v>
      </c>
      <c r="C105">
        <v>2024</v>
      </c>
      <c r="D105" t="s">
        <v>30</v>
      </c>
      <c r="E105" t="s">
        <v>47</v>
      </c>
      <c r="F105">
        <v>173</v>
      </c>
      <c r="G105">
        <v>8.8000000000000007</v>
      </c>
      <c r="H105">
        <v>257179</v>
      </c>
      <c r="I105">
        <v>112</v>
      </c>
      <c r="J105">
        <v>4.7</v>
      </c>
    </row>
    <row r="106" spans="1:10" x14ac:dyDescent="0.3">
      <c r="A106">
        <v>105</v>
      </c>
      <c r="B106" t="s">
        <v>18</v>
      </c>
      <c r="C106">
        <v>2024</v>
      </c>
      <c r="D106" t="s">
        <v>30</v>
      </c>
      <c r="E106" t="s">
        <v>47</v>
      </c>
      <c r="F106">
        <v>173</v>
      </c>
      <c r="G106">
        <v>6.5</v>
      </c>
      <c r="H106">
        <v>447729</v>
      </c>
      <c r="I106">
        <v>209</v>
      </c>
      <c r="J106">
        <v>4.7</v>
      </c>
    </row>
    <row r="107" spans="1:10" x14ac:dyDescent="0.3">
      <c r="A107">
        <v>106</v>
      </c>
      <c r="B107" t="s">
        <v>19</v>
      </c>
      <c r="C107">
        <v>2024</v>
      </c>
      <c r="D107" t="s">
        <v>30</v>
      </c>
      <c r="E107" t="s">
        <v>47</v>
      </c>
      <c r="F107">
        <v>173</v>
      </c>
      <c r="G107">
        <v>3.2</v>
      </c>
      <c r="H107">
        <v>868823</v>
      </c>
      <c r="I107">
        <v>199</v>
      </c>
      <c r="J107">
        <v>4.4000000000000004</v>
      </c>
    </row>
    <row r="108" spans="1:10" x14ac:dyDescent="0.3">
      <c r="A108">
        <v>107</v>
      </c>
      <c r="B108" t="s">
        <v>20</v>
      </c>
      <c r="C108">
        <v>2024</v>
      </c>
      <c r="D108" t="s">
        <v>30</v>
      </c>
      <c r="E108" t="s">
        <v>47</v>
      </c>
      <c r="F108">
        <v>173</v>
      </c>
      <c r="G108">
        <v>5.9</v>
      </c>
      <c r="H108">
        <v>554385</v>
      </c>
      <c r="I108">
        <v>24</v>
      </c>
      <c r="J108">
        <v>4.3</v>
      </c>
    </row>
    <row r="109" spans="1:10" x14ac:dyDescent="0.3">
      <c r="A109">
        <v>108</v>
      </c>
      <c r="B109" t="s">
        <v>21</v>
      </c>
      <c r="C109">
        <v>2024</v>
      </c>
      <c r="D109" t="s">
        <v>30</v>
      </c>
      <c r="E109" t="s">
        <v>47</v>
      </c>
      <c r="F109">
        <v>173</v>
      </c>
      <c r="G109">
        <v>4.5999999999999996</v>
      </c>
      <c r="H109">
        <v>828092</v>
      </c>
      <c r="I109">
        <v>149</v>
      </c>
      <c r="J109">
        <v>4.3</v>
      </c>
    </row>
    <row r="110" spans="1:10" x14ac:dyDescent="0.3">
      <c r="A110">
        <v>109</v>
      </c>
      <c r="B110" t="s">
        <v>10</v>
      </c>
      <c r="C110">
        <v>2024</v>
      </c>
      <c r="D110" t="s">
        <v>31</v>
      </c>
      <c r="E110" t="s">
        <v>47</v>
      </c>
      <c r="F110">
        <v>180</v>
      </c>
      <c r="G110">
        <v>6.9</v>
      </c>
      <c r="H110">
        <v>316809</v>
      </c>
      <c r="I110">
        <v>116</v>
      </c>
      <c r="J110">
        <v>4.3</v>
      </c>
    </row>
    <row r="111" spans="1:10" x14ac:dyDescent="0.3">
      <c r="A111">
        <v>110</v>
      </c>
      <c r="B111" t="s">
        <v>11</v>
      </c>
      <c r="C111">
        <v>2024</v>
      </c>
      <c r="D111" t="s">
        <v>31</v>
      </c>
      <c r="E111" t="s">
        <v>47</v>
      </c>
      <c r="F111">
        <v>180</v>
      </c>
      <c r="G111">
        <v>9.6999999999999993</v>
      </c>
      <c r="H111">
        <v>576026</v>
      </c>
      <c r="I111">
        <v>197</v>
      </c>
      <c r="J111">
        <v>4.5999999999999996</v>
      </c>
    </row>
    <row r="112" spans="1:10" x14ac:dyDescent="0.3">
      <c r="A112">
        <v>111</v>
      </c>
      <c r="B112" t="s">
        <v>12</v>
      </c>
      <c r="C112">
        <v>2024</v>
      </c>
      <c r="D112" t="s">
        <v>31</v>
      </c>
      <c r="E112" t="s">
        <v>47</v>
      </c>
      <c r="F112">
        <v>180</v>
      </c>
      <c r="G112">
        <v>8.1999999999999993</v>
      </c>
      <c r="H112">
        <v>237446</v>
      </c>
      <c r="I112">
        <v>172</v>
      </c>
      <c r="J112">
        <v>4.5</v>
      </c>
    </row>
    <row r="113" spans="1:10" x14ac:dyDescent="0.3">
      <c r="A113">
        <v>112</v>
      </c>
      <c r="B113" t="s">
        <v>13</v>
      </c>
      <c r="C113">
        <v>2024</v>
      </c>
      <c r="D113" t="s">
        <v>31</v>
      </c>
      <c r="E113" t="s">
        <v>47</v>
      </c>
      <c r="F113">
        <v>180</v>
      </c>
      <c r="G113">
        <v>4.5</v>
      </c>
      <c r="H113">
        <v>426035</v>
      </c>
      <c r="I113">
        <v>31</v>
      </c>
      <c r="J113">
        <v>4.8</v>
      </c>
    </row>
    <row r="114" spans="1:10" x14ac:dyDescent="0.3">
      <c r="A114">
        <v>113</v>
      </c>
      <c r="B114" t="s">
        <v>14</v>
      </c>
      <c r="C114">
        <v>2024</v>
      </c>
      <c r="D114" t="s">
        <v>31</v>
      </c>
      <c r="E114" t="s">
        <v>47</v>
      </c>
      <c r="F114">
        <v>180</v>
      </c>
      <c r="G114">
        <v>5.2</v>
      </c>
      <c r="H114">
        <v>222344</v>
      </c>
      <c r="I114">
        <v>232</v>
      </c>
      <c r="J114">
        <v>4.5</v>
      </c>
    </row>
    <row r="115" spans="1:10" x14ac:dyDescent="0.3">
      <c r="A115">
        <v>114</v>
      </c>
      <c r="B115" t="s">
        <v>15</v>
      </c>
      <c r="C115">
        <v>2024</v>
      </c>
      <c r="D115" t="s">
        <v>31</v>
      </c>
      <c r="E115" t="s">
        <v>47</v>
      </c>
      <c r="F115">
        <v>180</v>
      </c>
      <c r="G115">
        <v>3.7</v>
      </c>
      <c r="H115">
        <v>111630</v>
      </c>
      <c r="I115">
        <v>183</v>
      </c>
      <c r="J115">
        <v>4.7</v>
      </c>
    </row>
    <row r="116" spans="1:10" x14ac:dyDescent="0.3">
      <c r="A116">
        <v>115</v>
      </c>
      <c r="B116" t="s">
        <v>16</v>
      </c>
      <c r="C116">
        <v>2024</v>
      </c>
      <c r="D116" t="s">
        <v>31</v>
      </c>
      <c r="E116" t="s">
        <v>47</v>
      </c>
      <c r="F116">
        <v>180</v>
      </c>
      <c r="G116">
        <v>6.1</v>
      </c>
      <c r="H116">
        <v>850653</v>
      </c>
      <c r="I116">
        <v>74</v>
      </c>
      <c r="J116">
        <v>4.5999999999999996</v>
      </c>
    </row>
    <row r="117" spans="1:10" x14ac:dyDescent="0.3">
      <c r="A117">
        <v>116</v>
      </c>
      <c r="B117" t="s">
        <v>17</v>
      </c>
      <c r="C117">
        <v>2024</v>
      </c>
      <c r="D117" t="s">
        <v>31</v>
      </c>
      <c r="E117" t="s">
        <v>47</v>
      </c>
      <c r="F117">
        <v>180</v>
      </c>
      <c r="G117">
        <v>8.6999999999999993</v>
      </c>
      <c r="H117">
        <v>561326</v>
      </c>
      <c r="I117">
        <v>94</v>
      </c>
      <c r="J117">
        <v>4.9000000000000004</v>
      </c>
    </row>
    <row r="118" spans="1:10" x14ac:dyDescent="0.3">
      <c r="A118">
        <v>117</v>
      </c>
      <c r="B118" t="s">
        <v>18</v>
      </c>
      <c r="C118">
        <v>2024</v>
      </c>
      <c r="D118" t="s">
        <v>31</v>
      </c>
      <c r="E118" t="s">
        <v>47</v>
      </c>
      <c r="F118">
        <v>180</v>
      </c>
      <c r="G118">
        <v>10</v>
      </c>
      <c r="H118">
        <v>799329</v>
      </c>
      <c r="I118">
        <v>29</v>
      </c>
      <c r="J118">
        <v>4.5999999999999996</v>
      </c>
    </row>
    <row r="119" spans="1:10" x14ac:dyDescent="0.3">
      <c r="A119">
        <v>118</v>
      </c>
      <c r="B119" t="s">
        <v>19</v>
      </c>
      <c r="C119">
        <v>2024</v>
      </c>
      <c r="D119" t="s">
        <v>31</v>
      </c>
      <c r="E119" t="s">
        <v>47</v>
      </c>
      <c r="F119">
        <v>180</v>
      </c>
      <c r="G119">
        <v>3.8</v>
      </c>
      <c r="H119">
        <v>640250</v>
      </c>
      <c r="I119">
        <v>148</v>
      </c>
      <c r="J119">
        <v>4.8</v>
      </c>
    </row>
    <row r="120" spans="1:10" x14ac:dyDescent="0.3">
      <c r="A120">
        <v>119</v>
      </c>
      <c r="B120" t="s">
        <v>20</v>
      </c>
      <c r="C120">
        <v>2024</v>
      </c>
      <c r="D120" t="s">
        <v>31</v>
      </c>
      <c r="E120" t="s">
        <v>47</v>
      </c>
      <c r="F120">
        <v>180</v>
      </c>
      <c r="G120">
        <v>3</v>
      </c>
      <c r="H120">
        <v>560163</v>
      </c>
      <c r="I120">
        <v>85</v>
      </c>
      <c r="J120">
        <v>4.9000000000000004</v>
      </c>
    </row>
    <row r="121" spans="1:10" x14ac:dyDescent="0.3">
      <c r="A121">
        <v>120</v>
      </c>
      <c r="B121" t="s">
        <v>21</v>
      </c>
      <c r="C121">
        <v>2024</v>
      </c>
      <c r="D121" t="s">
        <v>31</v>
      </c>
      <c r="E121" t="s">
        <v>47</v>
      </c>
      <c r="F121">
        <v>180</v>
      </c>
      <c r="G121">
        <v>4.5</v>
      </c>
      <c r="H121">
        <v>661338</v>
      </c>
      <c r="I121">
        <v>143</v>
      </c>
      <c r="J121">
        <v>4.7</v>
      </c>
    </row>
    <row r="122" spans="1:10" x14ac:dyDescent="0.3">
      <c r="A122">
        <v>121</v>
      </c>
      <c r="B122" t="s">
        <v>10</v>
      </c>
      <c r="C122">
        <v>2024</v>
      </c>
      <c r="D122" t="s">
        <v>32</v>
      </c>
      <c r="E122" t="s">
        <v>48</v>
      </c>
      <c r="F122">
        <v>53</v>
      </c>
      <c r="G122">
        <v>6</v>
      </c>
      <c r="H122">
        <v>203599</v>
      </c>
      <c r="I122">
        <v>221</v>
      </c>
      <c r="J122">
        <v>4.3</v>
      </c>
    </row>
    <row r="123" spans="1:10" x14ac:dyDescent="0.3">
      <c r="A123">
        <v>122</v>
      </c>
      <c r="B123" t="s">
        <v>11</v>
      </c>
      <c r="C123">
        <v>2024</v>
      </c>
      <c r="D123" t="s">
        <v>32</v>
      </c>
      <c r="E123" t="s">
        <v>48</v>
      </c>
      <c r="F123">
        <v>53</v>
      </c>
      <c r="G123">
        <v>6.8</v>
      </c>
      <c r="H123">
        <v>592266</v>
      </c>
      <c r="I123">
        <v>155</v>
      </c>
      <c r="J123">
        <v>4.5</v>
      </c>
    </row>
    <row r="124" spans="1:10" x14ac:dyDescent="0.3">
      <c r="A124">
        <v>123</v>
      </c>
      <c r="B124" t="s">
        <v>12</v>
      </c>
      <c r="C124">
        <v>2024</v>
      </c>
      <c r="D124" t="s">
        <v>32</v>
      </c>
      <c r="E124" t="s">
        <v>48</v>
      </c>
      <c r="F124">
        <v>53</v>
      </c>
      <c r="G124">
        <v>4.5</v>
      </c>
      <c r="H124">
        <v>421869</v>
      </c>
      <c r="I124">
        <v>28</v>
      </c>
      <c r="J124">
        <v>4.9000000000000004</v>
      </c>
    </row>
    <row r="125" spans="1:10" x14ac:dyDescent="0.3">
      <c r="A125">
        <v>124</v>
      </c>
      <c r="B125" t="s">
        <v>13</v>
      </c>
      <c r="C125">
        <v>2024</v>
      </c>
      <c r="D125" t="s">
        <v>32</v>
      </c>
      <c r="E125" t="s">
        <v>48</v>
      </c>
      <c r="F125">
        <v>53</v>
      </c>
      <c r="G125">
        <v>2.9</v>
      </c>
      <c r="H125">
        <v>337295</v>
      </c>
      <c r="I125">
        <v>109</v>
      </c>
      <c r="J125">
        <v>4.2</v>
      </c>
    </row>
    <row r="126" spans="1:10" x14ac:dyDescent="0.3">
      <c r="A126">
        <v>125</v>
      </c>
      <c r="B126" t="s">
        <v>14</v>
      </c>
      <c r="C126">
        <v>2024</v>
      </c>
      <c r="D126" t="s">
        <v>32</v>
      </c>
      <c r="E126" t="s">
        <v>48</v>
      </c>
      <c r="F126">
        <v>53</v>
      </c>
      <c r="G126">
        <v>7.4</v>
      </c>
      <c r="H126">
        <v>198541</v>
      </c>
      <c r="I126">
        <v>20</v>
      </c>
      <c r="J126">
        <v>4.9000000000000004</v>
      </c>
    </row>
    <row r="127" spans="1:10" x14ac:dyDescent="0.3">
      <c r="A127">
        <v>126</v>
      </c>
      <c r="B127" t="s">
        <v>15</v>
      </c>
      <c r="C127">
        <v>2024</v>
      </c>
      <c r="D127" t="s">
        <v>32</v>
      </c>
      <c r="E127" t="s">
        <v>48</v>
      </c>
      <c r="F127">
        <v>53</v>
      </c>
      <c r="G127">
        <v>2.6</v>
      </c>
      <c r="H127">
        <v>693573</v>
      </c>
      <c r="I127">
        <v>209</v>
      </c>
      <c r="J127">
        <v>4.3</v>
      </c>
    </row>
    <row r="128" spans="1:10" x14ac:dyDescent="0.3">
      <c r="A128">
        <v>127</v>
      </c>
      <c r="B128" t="s">
        <v>16</v>
      </c>
      <c r="C128">
        <v>2024</v>
      </c>
      <c r="D128" t="s">
        <v>32</v>
      </c>
      <c r="E128" t="s">
        <v>48</v>
      </c>
      <c r="F128">
        <v>53</v>
      </c>
      <c r="G128">
        <v>8.6999999999999993</v>
      </c>
      <c r="H128">
        <v>469022</v>
      </c>
      <c r="I128">
        <v>24</v>
      </c>
      <c r="J128">
        <v>4.4000000000000004</v>
      </c>
    </row>
    <row r="129" spans="1:10" x14ac:dyDescent="0.3">
      <c r="A129">
        <v>128</v>
      </c>
      <c r="B129" t="s">
        <v>17</v>
      </c>
      <c r="C129">
        <v>2024</v>
      </c>
      <c r="D129" t="s">
        <v>32</v>
      </c>
      <c r="E129" t="s">
        <v>48</v>
      </c>
      <c r="F129">
        <v>53</v>
      </c>
      <c r="G129">
        <v>3.3</v>
      </c>
      <c r="H129">
        <v>365245</v>
      </c>
      <c r="I129">
        <v>87</v>
      </c>
      <c r="J129">
        <v>4.8</v>
      </c>
    </row>
    <row r="130" spans="1:10" x14ac:dyDescent="0.3">
      <c r="A130">
        <v>129</v>
      </c>
      <c r="B130" t="s">
        <v>18</v>
      </c>
      <c r="C130">
        <v>2024</v>
      </c>
      <c r="D130" t="s">
        <v>32</v>
      </c>
      <c r="E130" t="s">
        <v>48</v>
      </c>
      <c r="F130">
        <v>53</v>
      </c>
      <c r="G130">
        <v>6.3</v>
      </c>
      <c r="H130">
        <v>781047</v>
      </c>
      <c r="I130">
        <v>156</v>
      </c>
      <c r="J130">
        <v>4.8</v>
      </c>
    </row>
    <row r="131" spans="1:10" x14ac:dyDescent="0.3">
      <c r="A131">
        <v>130</v>
      </c>
      <c r="B131" t="s">
        <v>19</v>
      </c>
      <c r="C131">
        <v>2024</v>
      </c>
      <c r="D131" t="s">
        <v>32</v>
      </c>
      <c r="E131" t="s">
        <v>48</v>
      </c>
      <c r="F131">
        <v>53</v>
      </c>
      <c r="G131">
        <v>2.9</v>
      </c>
      <c r="H131">
        <v>827878</v>
      </c>
      <c r="I131">
        <v>106</v>
      </c>
      <c r="J131">
        <v>4.8</v>
      </c>
    </row>
    <row r="132" spans="1:10" x14ac:dyDescent="0.3">
      <c r="A132">
        <v>131</v>
      </c>
      <c r="B132" t="s">
        <v>20</v>
      </c>
      <c r="C132">
        <v>2024</v>
      </c>
      <c r="D132" t="s">
        <v>32</v>
      </c>
      <c r="E132" t="s">
        <v>48</v>
      </c>
      <c r="F132">
        <v>53</v>
      </c>
      <c r="G132">
        <v>7.6</v>
      </c>
      <c r="H132">
        <v>369672</v>
      </c>
      <c r="I132">
        <v>195</v>
      </c>
      <c r="J132">
        <v>4.5</v>
      </c>
    </row>
    <row r="133" spans="1:10" x14ac:dyDescent="0.3">
      <c r="A133">
        <v>132</v>
      </c>
      <c r="B133" t="s">
        <v>21</v>
      </c>
      <c r="C133">
        <v>2024</v>
      </c>
      <c r="D133" t="s">
        <v>32</v>
      </c>
      <c r="E133" t="s">
        <v>48</v>
      </c>
      <c r="F133">
        <v>53</v>
      </c>
      <c r="G133">
        <v>8.8000000000000007</v>
      </c>
      <c r="H133">
        <v>728548</v>
      </c>
      <c r="I133">
        <v>45</v>
      </c>
      <c r="J133">
        <v>4.4000000000000004</v>
      </c>
    </row>
    <row r="134" spans="1:10" x14ac:dyDescent="0.3">
      <c r="A134">
        <v>133</v>
      </c>
      <c r="B134" t="s">
        <v>10</v>
      </c>
      <c r="C134">
        <v>2024</v>
      </c>
      <c r="D134" t="s">
        <v>33</v>
      </c>
      <c r="E134" t="s">
        <v>49</v>
      </c>
      <c r="F134">
        <v>94</v>
      </c>
      <c r="G134">
        <v>8.1999999999999993</v>
      </c>
      <c r="H134">
        <v>732377</v>
      </c>
      <c r="I134">
        <v>27</v>
      </c>
      <c r="J134">
        <v>4.5</v>
      </c>
    </row>
    <row r="135" spans="1:10" x14ac:dyDescent="0.3">
      <c r="A135">
        <v>134</v>
      </c>
      <c r="B135" t="s">
        <v>11</v>
      </c>
      <c r="C135">
        <v>2024</v>
      </c>
      <c r="D135" t="s">
        <v>33</v>
      </c>
      <c r="E135" t="s">
        <v>49</v>
      </c>
      <c r="F135">
        <v>94</v>
      </c>
      <c r="G135">
        <v>8.9</v>
      </c>
      <c r="H135">
        <v>191337</v>
      </c>
      <c r="I135">
        <v>163</v>
      </c>
      <c r="J135">
        <v>4.3</v>
      </c>
    </row>
    <row r="136" spans="1:10" x14ac:dyDescent="0.3">
      <c r="A136">
        <v>135</v>
      </c>
      <c r="B136" t="s">
        <v>12</v>
      </c>
      <c r="C136">
        <v>2024</v>
      </c>
      <c r="D136" t="s">
        <v>33</v>
      </c>
      <c r="E136" t="s">
        <v>49</v>
      </c>
      <c r="F136">
        <v>94</v>
      </c>
      <c r="G136">
        <v>6.9</v>
      </c>
      <c r="H136">
        <v>589716</v>
      </c>
      <c r="I136">
        <v>180</v>
      </c>
      <c r="J136">
        <v>4.4000000000000004</v>
      </c>
    </row>
    <row r="137" spans="1:10" x14ac:dyDescent="0.3">
      <c r="A137">
        <v>136</v>
      </c>
      <c r="B137" t="s">
        <v>13</v>
      </c>
      <c r="C137">
        <v>2024</v>
      </c>
      <c r="D137" t="s">
        <v>33</v>
      </c>
      <c r="E137" t="s">
        <v>49</v>
      </c>
      <c r="F137">
        <v>94</v>
      </c>
      <c r="G137">
        <v>4</v>
      </c>
      <c r="H137">
        <v>519324</v>
      </c>
      <c r="I137">
        <v>146</v>
      </c>
      <c r="J137">
        <v>4.3</v>
      </c>
    </row>
    <row r="138" spans="1:10" x14ac:dyDescent="0.3">
      <c r="A138">
        <v>137</v>
      </c>
      <c r="B138" t="s">
        <v>14</v>
      </c>
      <c r="C138">
        <v>2024</v>
      </c>
      <c r="D138" t="s">
        <v>33</v>
      </c>
      <c r="E138" t="s">
        <v>49</v>
      </c>
      <c r="F138">
        <v>94</v>
      </c>
      <c r="G138">
        <v>8.5</v>
      </c>
      <c r="H138">
        <v>122731</v>
      </c>
      <c r="I138">
        <v>148</v>
      </c>
      <c r="J138">
        <v>4.5</v>
      </c>
    </row>
    <row r="139" spans="1:10" x14ac:dyDescent="0.3">
      <c r="A139">
        <v>138</v>
      </c>
      <c r="B139" t="s">
        <v>15</v>
      </c>
      <c r="C139">
        <v>2024</v>
      </c>
      <c r="D139" t="s">
        <v>33</v>
      </c>
      <c r="E139" t="s">
        <v>49</v>
      </c>
      <c r="F139">
        <v>94</v>
      </c>
      <c r="G139">
        <v>9</v>
      </c>
      <c r="H139">
        <v>821649</v>
      </c>
      <c r="I139">
        <v>79</v>
      </c>
      <c r="J139">
        <v>4.9000000000000004</v>
      </c>
    </row>
    <row r="140" spans="1:10" x14ac:dyDescent="0.3">
      <c r="A140">
        <v>139</v>
      </c>
      <c r="B140" t="s">
        <v>16</v>
      </c>
      <c r="C140">
        <v>2024</v>
      </c>
      <c r="D140" t="s">
        <v>33</v>
      </c>
      <c r="E140" t="s">
        <v>49</v>
      </c>
      <c r="F140">
        <v>94</v>
      </c>
      <c r="G140">
        <v>9</v>
      </c>
      <c r="H140">
        <v>497297</v>
      </c>
      <c r="I140">
        <v>244</v>
      </c>
      <c r="J140">
        <v>4.4000000000000004</v>
      </c>
    </row>
    <row r="141" spans="1:10" x14ac:dyDescent="0.3">
      <c r="A141">
        <v>140</v>
      </c>
      <c r="B141" t="s">
        <v>17</v>
      </c>
      <c r="C141">
        <v>2024</v>
      </c>
      <c r="D141" t="s">
        <v>33</v>
      </c>
      <c r="E141" t="s">
        <v>49</v>
      </c>
      <c r="F141">
        <v>94</v>
      </c>
      <c r="G141">
        <v>2.2000000000000002</v>
      </c>
      <c r="H141">
        <v>396309</v>
      </c>
      <c r="I141">
        <v>104</v>
      </c>
      <c r="J141">
        <v>4.8</v>
      </c>
    </row>
    <row r="142" spans="1:10" x14ac:dyDescent="0.3">
      <c r="A142">
        <v>141</v>
      </c>
      <c r="B142" t="s">
        <v>18</v>
      </c>
      <c r="C142">
        <v>2024</v>
      </c>
      <c r="D142" t="s">
        <v>33</v>
      </c>
      <c r="E142" t="s">
        <v>49</v>
      </c>
      <c r="F142">
        <v>94</v>
      </c>
      <c r="G142">
        <v>2.8</v>
      </c>
      <c r="H142">
        <v>229413</v>
      </c>
      <c r="I142">
        <v>160</v>
      </c>
      <c r="J142">
        <v>4.7</v>
      </c>
    </row>
    <row r="143" spans="1:10" x14ac:dyDescent="0.3">
      <c r="A143">
        <v>142</v>
      </c>
      <c r="B143" t="s">
        <v>19</v>
      </c>
      <c r="C143">
        <v>2024</v>
      </c>
      <c r="D143" t="s">
        <v>33</v>
      </c>
      <c r="E143" t="s">
        <v>49</v>
      </c>
      <c r="F143">
        <v>94</v>
      </c>
      <c r="G143">
        <v>6.7</v>
      </c>
      <c r="H143">
        <v>385639</v>
      </c>
      <c r="I143">
        <v>58</v>
      </c>
      <c r="J143">
        <v>4.4000000000000004</v>
      </c>
    </row>
    <row r="144" spans="1:10" x14ac:dyDescent="0.3">
      <c r="A144">
        <v>143</v>
      </c>
      <c r="B144" t="s">
        <v>20</v>
      </c>
      <c r="C144">
        <v>2024</v>
      </c>
      <c r="D144" t="s">
        <v>33</v>
      </c>
      <c r="E144" t="s">
        <v>49</v>
      </c>
      <c r="F144">
        <v>94</v>
      </c>
      <c r="G144">
        <v>6.5</v>
      </c>
      <c r="H144">
        <v>180242</v>
      </c>
      <c r="I144">
        <v>196</v>
      </c>
      <c r="J144">
        <v>4.2</v>
      </c>
    </row>
    <row r="145" spans="1:10" x14ac:dyDescent="0.3">
      <c r="A145">
        <v>144</v>
      </c>
      <c r="B145" t="s">
        <v>21</v>
      </c>
      <c r="C145">
        <v>2024</v>
      </c>
      <c r="D145" t="s">
        <v>33</v>
      </c>
      <c r="E145" t="s">
        <v>49</v>
      </c>
      <c r="F145">
        <v>94</v>
      </c>
      <c r="G145">
        <v>6.7</v>
      </c>
      <c r="H145">
        <v>698523</v>
      </c>
      <c r="I145">
        <v>137</v>
      </c>
      <c r="J145">
        <v>4.8</v>
      </c>
    </row>
    <row r="146" spans="1:10" x14ac:dyDescent="0.3">
      <c r="A146">
        <v>145</v>
      </c>
      <c r="B146" t="s">
        <v>10</v>
      </c>
      <c r="C146">
        <v>2024</v>
      </c>
      <c r="D146" t="s">
        <v>34</v>
      </c>
      <c r="E146" t="s">
        <v>50</v>
      </c>
      <c r="F146">
        <v>67</v>
      </c>
      <c r="G146">
        <v>9</v>
      </c>
      <c r="H146">
        <v>175842</v>
      </c>
      <c r="I146">
        <v>204</v>
      </c>
      <c r="J146">
        <v>4.4000000000000004</v>
      </c>
    </row>
    <row r="147" spans="1:10" x14ac:dyDescent="0.3">
      <c r="A147">
        <v>146</v>
      </c>
      <c r="B147" t="s">
        <v>11</v>
      </c>
      <c r="C147">
        <v>2024</v>
      </c>
      <c r="D147" t="s">
        <v>34</v>
      </c>
      <c r="E147" t="s">
        <v>50</v>
      </c>
      <c r="F147">
        <v>67</v>
      </c>
      <c r="G147">
        <v>4</v>
      </c>
      <c r="H147">
        <v>847380</v>
      </c>
      <c r="I147">
        <v>205</v>
      </c>
      <c r="J147">
        <v>4.7</v>
      </c>
    </row>
    <row r="148" spans="1:10" x14ac:dyDescent="0.3">
      <c r="A148">
        <v>147</v>
      </c>
      <c r="B148" t="s">
        <v>12</v>
      </c>
      <c r="C148">
        <v>2024</v>
      </c>
      <c r="D148" t="s">
        <v>34</v>
      </c>
      <c r="E148" t="s">
        <v>50</v>
      </c>
      <c r="F148">
        <v>67</v>
      </c>
      <c r="G148">
        <v>4.7</v>
      </c>
      <c r="H148">
        <v>815566</v>
      </c>
      <c r="I148">
        <v>206</v>
      </c>
      <c r="J148">
        <v>4.8</v>
      </c>
    </row>
    <row r="149" spans="1:10" x14ac:dyDescent="0.3">
      <c r="A149">
        <v>148</v>
      </c>
      <c r="B149" t="s">
        <v>13</v>
      </c>
      <c r="C149">
        <v>2024</v>
      </c>
      <c r="D149" t="s">
        <v>34</v>
      </c>
      <c r="E149" t="s">
        <v>50</v>
      </c>
      <c r="F149">
        <v>67</v>
      </c>
      <c r="G149">
        <v>6.4</v>
      </c>
      <c r="H149">
        <v>144715</v>
      </c>
      <c r="I149">
        <v>131</v>
      </c>
      <c r="J149">
        <v>4.4000000000000004</v>
      </c>
    </row>
    <row r="150" spans="1:10" x14ac:dyDescent="0.3">
      <c r="A150">
        <v>149</v>
      </c>
      <c r="B150" t="s">
        <v>14</v>
      </c>
      <c r="C150">
        <v>2024</v>
      </c>
      <c r="D150" t="s">
        <v>34</v>
      </c>
      <c r="E150" t="s">
        <v>50</v>
      </c>
      <c r="F150">
        <v>67</v>
      </c>
      <c r="G150">
        <v>8</v>
      </c>
      <c r="H150">
        <v>727771</v>
      </c>
      <c r="I150">
        <v>170</v>
      </c>
      <c r="J150">
        <v>4.2</v>
      </c>
    </row>
    <row r="151" spans="1:10" x14ac:dyDescent="0.3">
      <c r="A151">
        <v>150</v>
      </c>
      <c r="B151" t="s">
        <v>15</v>
      </c>
      <c r="C151">
        <v>2024</v>
      </c>
      <c r="D151" t="s">
        <v>34</v>
      </c>
      <c r="E151" t="s">
        <v>50</v>
      </c>
      <c r="F151">
        <v>67</v>
      </c>
      <c r="G151">
        <v>5.2</v>
      </c>
      <c r="H151">
        <v>841545</v>
      </c>
      <c r="I151">
        <v>209</v>
      </c>
      <c r="J151">
        <v>4.2</v>
      </c>
    </row>
    <row r="152" spans="1:10" x14ac:dyDescent="0.3">
      <c r="A152">
        <v>151</v>
      </c>
      <c r="B152" t="s">
        <v>16</v>
      </c>
      <c r="C152">
        <v>2024</v>
      </c>
      <c r="D152" t="s">
        <v>34</v>
      </c>
      <c r="E152" t="s">
        <v>50</v>
      </c>
      <c r="F152">
        <v>67</v>
      </c>
      <c r="G152">
        <v>2.4</v>
      </c>
      <c r="H152">
        <v>374645</v>
      </c>
      <c r="I152">
        <v>228</v>
      </c>
      <c r="J152">
        <v>4.5</v>
      </c>
    </row>
    <row r="153" spans="1:10" x14ac:dyDescent="0.3">
      <c r="A153">
        <v>152</v>
      </c>
      <c r="B153" t="s">
        <v>17</v>
      </c>
      <c r="C153">
        <v>2024</v>
      </c>
      <c r="D153" t="s">
        <v>34</v>
      </c>
      <c r="E153" t="s">
        <v>50</v>
      </c>
      <c r="F153">
        <v>67</v>
      </c>
      <c r="G153">
        <v>2.7</v>
      </c>
      <c r="H153">
        <v>175111</v>
      </c>
      <c r="I153">
        <v>110</v>
      </c>
      <c r="J153">
        <v>4.5999999999999996</v>
      </c>
    </row>
    <row r="154" spans="1:10" x14ac:dyDescent="0.3">
      <c r="A154">
        <v>153</v>
      </c>
      <c r="B154" t="s">
        <v>18</v>
      </c>
      <c r="C154">
        <v>2024</v>
      </c>
      <c r="D154" t="s">
        <v>34</v>
      </c>
      <c r="E154" t="s">
        <v>50</v>
      </c>
      <c r="F154">
        <v>67</v>
      </c>
      <c r="G154">
        <v>8.1</v>
      </c>
      <c r="H154">
        <v>290918</v>
      </c>
      <c r="I154">
        <v>200</v>
      </c>
      <c r="J154">
        <v>4.5</v>
      </c>
    </row>
    <row r="155" spans="1:10" x14ac:dyDescent="0.3">
      <c r="A155">
        <v>154</v>
      </c>
      <c r="B155" t="s">
        <v>19</v>
      </c>
      <c r="C155">
        <v>2024</v>
      </c>
      <c r="D155" t="s">
        <v>34</v>
      </c>
      <c r="E155" t="s">
        <v>50</v>
      </c>
      <c r="F155">
        <v>67</v>
      </c>
      <c r="G155">
        <v>6.7</v>
      </c>
      <c r="H155">
        <v>641699</v>
      </c>
      <c r="I155">
        <v>57</v>
      </c>
      <c r="J155">
        <v>4.7</v>
      </c>
    </row>
    <row r="156" spans="1:10" x14ac:dyDescent="0.3">
      <c r="A156">
        <v>155</v>
      </c>
      <c r="B156" t="s">
        <v>20</v>
      </c>
      <c r="C156">
        <v>2024</v>
      </c>
      <c r="D156" t="s">
        <v>34</v>
      </c>
      <c r="E156" t="s">
        <v>50</v>
      </c>
      <c r="F156">
        <v>67</v>
      </c>
      <c r="G156">
        <v>8.4</v>
      </c>
      <c r="H156">
        <v>644952</v>
      </c>
      <c r="I156">
        <v>199</v>
      </c>
      <c r="J156">
        <v>4.9000000000000004</v>
      </c>
    </row>
    <row r="157" spans="1:10" x14ac:dyDescent="0.3">
      <c r="A157">
        <v>156</v>
      </c>
      <c r="B157" t="s">
        <v>21</v>
      </c>
      <c r="C157">
        <v>2024</v>
      </c>
      <c r="D157" t="s">
        <v>34</v>
      </c>
      <c r="E157" t="s">
        <v>50</v>
      </c>
      <c r="F157">
        <v>67</v>
      </c>
      <c r="G157">
        <v>3.3</v>
      </c>
      <c r="H157">
        <v>626029</v>
      </c>
      <c r="I157">
        <v>224</v>
      </c>
      <c r="J157">
        <v>4.2</v>
      </c>
    </row>
    <row r="158" spans="1:10" x14ac:dyDescent="0.3">
      <c r="A158">
        <v>157</v>
      </c>
      <c r="B158" t="s">
        <v>10</v>
      </c>
      <c r="C158">
        <v>2024</v>
      </c>
      <c r="D158" t="s">
        <v>35</v>
      </c>
      <c r="E158" t="s">
        <v>42</v>
      </c>
      <c r="F158">
        <v>78</v>
      </c>
      <c r="G158">
        <v>3.8</v>
      </c>
      <c r="H158">
        <v>440727</v>
      </c>
      <c r="I158">
        <v>34</v>
      </c>
      <c r="J158">
        <v>4.5999999999999996</v>
      </c>
    </row>
    <row r="159" spans="1:10" x14ac:dyDescent="0.3">
      <c r="A159">
        <v>158</v>
      </c>
      <c r="B159" t="s">
        <v>11</v>
      </c>
      <c r="C159">
        <v>2024</v>
      </c>
      <c r="D159" t="s">
        <v>35</v>
      </c>
      <c r="E159" t="s">
        <v>42</v>
      </c>
      <c r="F159">
        <v>78</v>
      </c>
      <c r="G159">
        <v>4.7</v>
      </c>
      <c r="H159">
        <v>782940</v>
      </c>
      <c r="I159">
        <v>37</v>
      </c>
      <c r="J159">
        <v>4.8</v>
      </c>
    </row>
    <row r="160" spans="1:10" x14ac:dyDescent="0.3">
      <c r="A160">
        <v>159</v>
      </c>
      <c r="B160" t="s">
        <v>12</v>
      </c>
      <c r="C160">
        <v>2024</v>
      </c>
      <c r="D160" t="s">
        <v>35</v>
      </c>
      <c r="E160" t="s">
        <v>42</v>
      </c>
      <c r="F160">
        <v>78</v>
      </c>
      <c r="G160">
        <v>9.1</v>
      </c>
      <c r="H160">
        <v>268006</v>
      </c>
      <c r="I160">
        <v>197</v>
      </c>
      <c r="J160">
        <v>4.7</v>
      </c>
    </row>
    <row r="161" spans="1:10" x14ac:dyDescent="0.3">
      <c r="A161">
        <v>160</v>
      </c>
      <c r="B161" t="s">
        <v>13</v>
      </c>
      <c r="C161">
        <v>2024</v>
      </c>
      <c r="D161" t="s">
        <v>35</v>
      </c>
      <c r="E161" t="s">
        <v>42</v>
      </c>
      <c r="F161">
        <v>78</v>
      </c>
      <c r="G161">
        <v>8.6999999999999993</v>
      </c>
      <c r="H161">
        <v>669283</v>
      </c>
      <c r="I161">
        <v>126</v>
      </c>
      <c r="J161">
        <v>4.7</v>
      </c>
    </row>
    <row r="162" spans="1:10" x14ac:dyDescent="0.3">
      <c r="A162">
        <v>161</v>
      </c>
      <c r="B162" t="s">
        <v>14</v>
      </c>
      <c r="C162">
        <v>2024</v>
      </c>
      <c r="D162" t="s">
        <v>35</v>
      </c>
      <c r="E162" t="s">
        <v>42</v>
      </c>
      <c r="F162">
        <v>78</v>
      </c>
      <c r="G162">
        <v>2.5</v>
      </c>
      <c r="H162">
        <v>113569</v>
      </c>
      <c r="I162">
        <v>154</v>
      </c>
      <c r="J162">
        <v>4.2</v>
      </c>
    </row>
    <row r="163" spans="1:10" x14ac:dyDescent="0.3">
      <c r="A163">
        <v>162</v>
      </c>
      <c r="B163" t="s">
        <v>15</v>
      </c>
      <c r="C163">
        <v>2024</v>
      </c>
      <c r="D163" t="s">
        <v>35</v>
      </c>
      <c r="E163" t="s">
        <v>42</v>
      </c>
      <c r="F163">
        <v>78</v>
      </c>
      <c r="G163">
        <v>9.6</v>
      </c>
      <c r="H163">
        <v>863124</v>
      </c>
      <c r="I163">
        <v>65</v>
      </c>
      <c r="J163">
        <v>4.5999999999999996</v>
      </c>
    </row>
    <row r="164" spans="1:10" x14ac:dyDescent="0.3">
      <c r="A164">
        <v>163</v>
      </c>
      <c r="B164" t="s">
        <v>16</v>
      </c>
      <c r="C164">
        <v>2024</v>
      </c>
      <c r="D164" t="s">
        <v>35</v>
      </c>
      <c r="E164" t="s">
        <v>42</v>
      </c>
      <c r="F164">
        <v>78</v>
      </c>
      <c r="G164">
        <v>8.1999999999999993</v>
      </c>
      <c r="H164">
        <v>411614</v>
      </c>
      <c r="I164">
        <v>226</v>
      </c>
      <c r="J164">
        <v>4.9000000000000004</v>
      </c>
    </row>
    <row r="165" spans="1:10" x14ac:dyDescent="0.3">
      <c r="A165">
        <v>164</v>
      </c>
      <c r="B165" t="s">
        <v>17</v>
      </c>
      <c r="C165">
        <v>2024</v>
      </c>
      <c r="D165" t="s">
        <v>35</v>
      </c>
      <c r="E165" t="s">
        <v>42</v>
      </c>
      <c r="F165">
        <v>78</v>
      </c>
      <c r="G165">
        <v>9.1</v>
      </c>
      <c r="H165">
        <v>890468</v>
      </c>
      <c r="I165">
        <v>129</v>
      </c>
      <c r="J165">
        <v>4.4000000000000004</v>
      </c>
    </row>
    <row r="166" spans="1:10" x14ac:dyDescent="0.3">
      <c r="A166">
        <v>165</v>
      </c>
      <c r="B166" t="s">
        <v>18</v>
      </c>
      <c r="C166">
        <v>2024</v>
      </c>
      <c r="D166" t="s">
        <v>35</v>
      </c>
      <c r="E166" t="s">
        <v>42</v>
      </c>
      <c r="F166">
        <v>78</v>
      </c>
      <c r="G166">
        <v>4.5999999999999996</v>
      </c>
      <c r="H166">
        <v>445729</v>
      </c>
      <c r="I166">
        <v>143</v>
      </c>
      <c r="J166">
        <v>4.3</v>
      </c>
    </row>
    <row r="167" spans="1:10" x14ac:dyDescent="0.3">
      <c r="A167">
        <v>166</v>
      </c>
      <c r="B167" t="s">
        <v>19</v>
      </c>
      <c r="C167">
        <v>2024</v>
      </c>
      <c r="D167" t="s">
        <v>35</v>
      </c>
      <c r="E167" t="s">
        <v>42</v>
      </c>
      <c r="F167">
        <v>78</v>
      </c>
      <c r="G167">
        <v>7.4</v>
      </c>
      <c r="H167">
        <v>192981</v>
      </c>
      <c r="I167">
        <v>40</v>
      </c>
      <c r="J167">
        <v>4.4000000000000004</v>
      </c>
    </row>
    <row r="168" spans="1:10" x14ac:dyDescent="0.3">
      <c r="A168">
        <v>167</v>
      </c>
      <c r="B168" t="s">
        <v>20</v>
      </c>
      <c r="C168">
        <v>2024</v>
      </c>
      <c r="D168" t="s">
        <v>35</v>
      </c>
      <c r="E168" t="s">
        <v>42</v>
      </c>
      <c r="F168">
        <v>78</v>
      </c>
      <c r="G168">
        <v>5.8</v>
      </c>
      <c r="H168">
        <v>704239</v>
      </c>
      <c r="I168">
        <v>145</v>
      </c>
      <c r="J168">
        <v>4.5</v>
      </c>
    </row>
    <row r="169" spans="1:10" x14ac:dyDescent="0.3">
      <c r="A169">
        <v>168</v>
      </c>
      <c r="B169" t="s">
        <v>21</v>
      </c>
      <c r="C169">
        <v>2024</v>
      </c>
      <c r="D169" t="s">
        <v>35</v>
      </c>
      <c r="E169" t="s">
        <v>42</v>
      </c>
      <c r="F169">
        <v>78</v>
      </c>
      <c r="G169">
        <v>5.2</v>
      </c>
      <c r="H169">
        <v>255374</v>
      </c>
      <c r="I169">
        <v>31</v>
      </c>
      <c r="J169">
        <v>4.9000000000000004</v>
      </c>
    </row>
    <row r="170" spans="1:10" x14ac:dyDescent="0.3">
      <c r="A170">
        <v>169</v>
      </c>
      <c r="B170" t="s">
        <v>10</v>
      </c>
      <c r="C170">
        <v>2024</v>
      </c>
      <c r="D170" t="s">
        <v>36</v>
      </c>
      <c r="E170" t="s">
        <v>51</v>
      </c>
      <c r="F170">
        <v>169</v>
      </c>
      <c r="G170">
        <v>8.1</v>
      </c>
      <c r="H170">
        <v>234349</v>
      </c>
      <c r="I170">
        <v>166</v>
      </c>
      <c r="J170">
        <v>4.7</v>
      </c>
    </row>
    <row r="171" spans="1:10" x14ac:dyDescent="0.3">
      <c r="A171">
        <v>170</v>
      </c>
      <c r="B171" t="s">
        <v>11</v>
      </c>
      <c r="C171">
        <v>2024</v>
      </c>
      <c r="D171" t="s">
        <v>36</v>
      </c>
      <c r="E171" t="s">
        <v>51</v>
      </c>
      <c r="F171">
        <v>169</v>
      </c>
      <c r="G171">
        <v>4</v>
      </c>
      <c r="H171">
        <v>280870</v>
      </c>
      <c r="I171">
        <v>92</v>
      </c>
      <c r="J171">
        <v>4.9000000000000004</v>
      </c>
    </row>
    <row r="172" spans="1:10" x14ac:dyDescent="0.3">
      <c r="A172">
        <v>171</v>
      </c>
      <c r="B172" t="s">
        <v>12</v>
      </c>
      <c r="C172">
        <v>2024</v>
      </c>
      <c r="D172" t="s">
        <v>36</v>
      </c>
      <c r="E172" t="s">
        <v>51</v>
      </c>
      <c r="F172">
        <v>169</v>
      </c>
      <c r="G172">
        <v>8.8000000000000007</v>
      </c>
      <c r="H172">
        <v>627267</v>
      </c>
      <c r="I172">
        <v>40</v>
      </c>
      <c r="J172">
        <v>4.5</v>
      </c>
    </row>
    <row r="173" spans="1:10" x14ac:dyDescent="0.3">
      <c r="A173">
        <v>172</v>
      </c>
      <c r="B173" t="s">
        <v>13</v>
      </c>
      <c r="C173">
        <v>2024</v>
      </c>
      <c r="D173" t="s">
        <v>36</v>
      </c>
      <c r="E173" t="s">
        <v>51</v>
      </c>
      <c r="F173">
        <v>169</v>
      </c>
      <c r="G173">
        <v>6.1</v>
      </c>
      <c r="H173">
        <v>419618</v>
      </c>
      <c r="I173">
        <v>43</v>
      </c>
      <c r="J173">
        <v>4.5</v>
      </c>
    </row>
    <row r="174" spans="1:10" x14ac:dyDescent="0.3">
      <c r="A174">
        <v>173</v>
      </c>
      <c r="B174" t="s">
        <v>14</v>
      </c>
      <c r="C174">
        <v>2024</v>
      </c>
      <c r="D174" t="s">
        <v>36</v>
      </c>
      <c r="E174" t="s">
        <v>51</v>
      </c>
      <c r="F174">
        <v>169</v>
      </c>
      <c r="G174">
        <v>6.9</v>
      </c>
      <c r="H174">
        <v>122604</v>
      </c>
      <c r="I174">
        <v>190</v>
      </c>
      <c r="J174">
        <v>4.8</v>
      </c>
    </row>
    <row r="175" spans="1:10" x14ac:dyDescent="0.3">
      <c r="A175">
        <v>174</v>
      </c>
      <c r="B175" t="s">
        <v>15</v>
      </c>
      <c r="C175">
        <v>2024</v>
      </c>
      <c r="D175" t="s">
        <v>36</v>
      </c>
      <c r="E175" t="s">
        <v>51</v>
      </c>
      <c r="F175">
        <v>169</v>
      </c>
      <c r="G175">
        <v>3.8</v>
      </c>
      <c r="H175">
        <v>837739</v>
      </c>
      <c r="I175">
        <v>40</v>
      </c>
      <c r="J175">
        <v>4.4000000000000004</v>
      </c>
    </row>
    <row r="176" spans="1:10" x14ac:dyDescent="0.3">
      <c r="A176">
        <v>175</v>
      </c>
      <c r="B176" t="s">
        <v>16</v>
      </c>
      <c r="C176">
        <v>2024</v>
      </c>
      <c r="D176" t="s">
        <v>36</v>
      </c>
      <c r="E176" t="s">
        <v>51</v>
      </c>
      <c r="F176">
        <v>169</v>
      </c>
      <c r="G176">
        <v>4.5</v>
      </c>
      <c r="H176">
        <v>684005</v>
      </c>
      <c r="I176">
        <v>58</v>
      </c>
      <c r="J176">
        <v>4.4000000000000004</v>
      </c>
    </row>
    <row r="177" spans="1:10" x14ac:dyDescent="0.3">
      <c r="A177">
        <v>176</v>
      </c>
      <c r="B177" t="s">
        <v>17</v>
      </c>
      <c r="C177">
        <v>2024</v>
      </c>
      <c r="D177" t="s">
        <v>36</v>
      </c>
      <c r="E177" t="s">
        <v>51</v>
      </c>
      <c r="F177">
        <v>169</v>
      </c>
      <c r="G177">
        <v>3.6</v>
      </c>
      <c r="H177">
        <v>703812</v>
      </c>
      <c r="I177">
        <v>169</v>
      </c>
      <c r="J177">
        <v>4.8</v>
      </c>
    </row>
    <row r="178" spans="1:10" x14ac:dyDescent="0.3">
      <c r="A178">
        <v>177</v>
      </c>
      <c r="B178" t="s">
        <v>18</v>
      </c>
      <c r="C178">
        <v>2024</v>
      </c>
      <c r="D178" t="s">
        <v>36</v>
      </c>
      <c r="E178" t="s">
        <v>51</v>
      </c>
      <c r="F178">
        <v>169</v>
      </c>
      <c r="G178">
        <v>8.3000000000000007</v>
      </c>
      <c r="H178">
        <v>347440</v>
      </c>
      <c r="I178">
        <v>208</v>
      </c>
      <c r="J178">
        <v>4.5999999999999996</v>
      </c>
    </row>
    <row r="179" spans="1:10" x14ac:dyDescent="0.3">
      <c r="A179">
        <v>178</v>
      </c>
      <c r="B179" t="s">
        <v>19</v>
      </c>
      <c r="C179">
        <v>2024</v>
      </c>
      <c r="D179" t="s">
        <v>36</v>
      </c>
      <c r="E179" t="s">
        <v>51</v>
      </c>
      <c r="F179">
        <v>169</v>
      </c>
      <c r="G179">
        <v>8.3000000000000007</v>
      </c>
      <c r="H179">
        <v>212818</v>
      </c>
      <c r="I179">
        <v>109</v>
      </c>
      <c r="J179">
        <v>4.4000000000000004</v>
      </c>
    </row>
    <row r="180" spans="1:10" x14ac:dyDescent="0.3">
      <c r="A180">
        <v>179</v>
      </c>
      <c r="B180" t="s">
        <v>20</v>
      </c>
      <c r="C180">
        <v>2024</v>
      </c>
      <c r="D180" t="s">
        <v>36</v>
      </c>
      <c r="E180" t="s">
        <v>51</v>
      </c>
      <c r="F180">
        <v>169</v>
      </c>
      <c r="G180">
        <v>2.1</v>
      </c>
      <c r="H180">
        <v>356344</v>
      </c>
      <c r="I180">
        <v>112</v>
      </c>
      <c r="J180">
        <v>4.5</v>
      </c>
    </row>
    <row r="181" spans="1:10" x14ac:dyDescent="0.3">
      <c r="A181">
        <v>180</v>
      </c>
      <c r="B181" t="s">
        <v>21</v>
      </c>
      <c r="C181">
        <v>2024</v>
      </c>
      <c r="D181" t="s">
        <v>36</v>
      </c>
      <c r="E181" t="s">
        <v>51</v>
      </c>
      <c r="F181">
        <v>169</v>
      </c>
      <c r="G181">
        <v>9.1</v>
      </c>
      <c r="H181">
        <v>437950</v>
      </c>
      <c r="I181">
        <v>57</v>
      </c>
      <c r="J181">
        <v>4.3</v>
      </c>
    </row>
    <row r="182" spans="1:10" x14ac:dyDescent="0.3">
      <c r="A182">
        <v>181</v>
      </c>
      <c r="B182" t="s">
        <v>10</v>
      </c>
      <c r="C182">
        <v>2024</v>
      </c>
      <c r="D182" t="s">
        <v>37</v>
      </c>
      <c r="E182" t="s">
        <v>52</v>
      </c>
      <c r="F182">
        <v>150</v>
      </c>
      <c r="G182">
        <v>9.3000000000000007</v>
      </c>
      <c r="H182">
        <v>821195</v>
      </c>
      <c r="I182">
        <v>44</v>
      </c>
      <c r="J182">
        <v>4.3</v>
      </c>
    </row>
    <row r="183" spans="1:10" x14ac:dyDescent="0.3">
      <c r="A183">
        <v>182</v>
      </c>
      <c r="B183" t="s">
        <v>11</v>
      </c>
      <c r="C183">
        <v>2024</v>
      </c>
      <c r="D183" t="s">
        <v>37</v>
      </c>
      <c r="E183" t="s">
        <v>52</v>
      </c>
      <c r="F183">
        <v>150</v>
      </c>
      <c r="G183">
        <v>4.5</v>
      </c>
      <c r="H183">
        <v>820664</v>
      </c>
      <c r="I183">
        <v>81</v>
      </c>
      <c r="J183">
        <v>4.8</v>
      </c>
    </row>
    <row r="184" spans="1:10" x14ac:dyDescent="0.3">
      <c r="A184">
        <v>183</v>
      </c>
      <c r="B184" t="s">
        <v>12</v>
      </c>
      <c r="C184">
        <v>2024</v>
      </c>
      <c r="D184" t="s">
        <v>37</v>
      </c>
      <c r="E184" t="s">
        <v>52</v>
      </c>
      <c r="F184">
        <v>150</v>
      </c>
      <c r="G184">
        <v>6.4</v>
      </c>
      <c r="H184">
        <v>741366</v>
      </c>
      <c r="I184">
        <v>61</v>
      </c>
      <c r="J184">
        <v>4.3</v>
      </c>
    </row>
    <row r="185" spans="1:10" x14ac:dyDescent="0.3">
      <c r="A185">
        <v>184</v>
      </c>
      <c r="B185" t="s">
        <v>13</v>
      </c>
      <c r="C185">
        <v>2024</v>
      </c>
      <c r="D185" t="s">
        <v>37</v>
      </c>
      <c r="E185" t="s">
        <v>52</v>
      </c>
      <c r="F185">
        <v>150</v>
      </c>
      <c r="G185">
        <v>7.1</v>
      </c>
      <c r="H185">
        <v>243645</v>
      </c>
      <c r="I185">
        <v>83</v>
      </c>
      <c r="J185">
        <v>4.5999999999999996</v>
      </c>
    </row>
    <row r="186" spans="1:10" x14ac:dyDescent="0.3">
      <c r="A186">
        <v>185</v>
      </c>
      <c r="B186" t="s">
        <v>14</v>
      </c>
      <c r="C186">
        <v>2024</v>
      </c>
      <c r="D186" t="s">
        <v>37</v>
      </c>
      <c r="E186" t="s">
        <v>52</v>
      </c>
      <c r="F186">
        <v>150</v>
      </c>
      <c r="G186">
        <v>4.0999999999999996</v>
      </c>
      <c r="H186">
        <v>695532</v>
      </c>
      <c r="I186">
        <v>65</v>
      </c>
      <c r="J186">
        <v>4.4000000000000004</v>
      </c>
    </row>
    <row r="187" spans="1:10" x14ac:dyDescent="0.3">
      <c r="A187">
        <v>186</v>
      </c>
      <c r="B187" t="s">
        <v>15</v>
      </c>
      <c r="C187">
        <v>2024</v>
      </c>
      <c r="D187" t="s">
        <v>37</v>
      </c>
      <c r="E187" t="s">
        <v>52</v>
      </c>
      <c r="F187">
        <v>150</v>
      </c>
      <c r="G187">
        <v>9.6</v>
      </c>
      <c r="H187">
        <v>706717</v>
      </c>
      <c r="I187">
        <v>195</v>
      </c>
      <c r="J187">
        <v>4.4000000000000004</v>
      </c>
    </row>
    <row r="188" spans="1:10" x14ac:dyDescent="0.3">
      <c r="A188">
        <v>187</v>
      </c>
      <c r="B188" t="s">
        <v>16</v>
      </c>
      <c r="C188">
        <v>2024</v>
      </c>
      <c r="D188" t="s">
        <v>37</v>
      </c>
      <c r="E188" t="s">
        <v>52</v>
      </c>
      <c r="F188">
        <v>150</v>
      </c>
      <c r="G188">
        <v>9</v>
      </c>
      <c r="H188">
        <v>363454</v>
      </c>
      <c r="I188">
        <v>181</v>
      </c>
      <c r="J188">
        <v>4.3</v>
      </c>
    </row>
    <row r="189" spans="1:10" x14ac:dyDescent="0.3">
      <c r="A189">
        <v>188</v>
      </c>
      <c r="B189" t="s">
        <v>17</v>
      </c>
      <c r="C189">
        <v>2024</v>
      </c>
      <c r="D189" t="s">
        <v>37</v>
      </c>
      <c r="E189" t="s">
        <v>52</v>
      </c>
      <c r="F189">
        <v>150</v>
      </c>
      <c r="G189">
        <v>7.1</v>
      </c>
      <c r="H189">
        <v>430431</v>
      </c>
      <c r="I189">
        <v>87</v>
      </c>
      <c r="J189">
        <v>4.5999999999999996</v>
      </c>
    </row>
    <row r="190" spans="1:10" x14ac:dyDescent="0.3">
      <c r="A190">
        <v>189</v>
      </c>
      <c r="B190" t="s">
        <v>18</v>
      </c>
      <c r="C190">
        <v>2024</v>
      </c>
      <c r="D190" t="s">
        <v>37</v>
      </c>
      <c r="E190" t="s">
        <v>52</v>
      </c>
      <c r="F190">
        <v>150</v>
      </c>
      <c r="G190">
        <v>3.4</v>
      </c>
      <c r="H190">
        <v>146774</v>
      </c>
      <c r="I190">
        <v>187</v>
      </c>
      <c r="J190">
        <v>4.5</v>
      </c>
    </row>
    <row r="191" spans="1:10" x14ac:dyDescent="0.3">
      <c r="A191">
        <v>190</v>
      </c>
      <c r="B191" t="s">
        <v>19</v>
      </c>
      <c r="C191">
        <v>2024</v>
      </c>
      <c r="D191" t="s">
        <v>37</v>
      </c>
      <c r="E191" t="s">
        <v>52</v>
      </c>
      <c r="F191">
        <v>150</v>
      </c>
      <c r="G191">
        <v>5</v>
      </c>
      <c r="H191">
        <v>563464</v>
      </c>
      <c r="I191">
        <v>227</v>
      </c>
      <c r="J191">
        <v>4.5</v>
      </c>
    </row>
    <row r="192" spans="1:10" x14ac:dyDescent="0.3">
      <c r="A192">
        <v>191</v>
      </c>
      <c r="B192" t="s">
        <v>20</v>
      </c>
      <c r="C192">
        <v>2024</v>
      </c>
      <c r="D192" t="s">
        <v>37</v>
      </c>
      <c r="E192" t="s">
        <v>52</v>
      </c>
      <c r="F192">
        <v>150</v>
      </c>
      <c r="G192">
        <v>4.9000000000000004</v>
      </c>
      <c r="H192">
        <v>502702</v>
      </c>
      <c r="I192">
        <v>227</v>
      </c>
      <c r="J192">
        <v>4.3</v>
      </c>
    </row>
    <row r="193" spans="1:10" x14ac:dyDescent="0.3">
      <c r="A193">
        <v>192</v>
      </c>
      <c r="B193" t="s">
        <v>21</v>
      </c>
      <c r="C193">
        <v>2024</v>
      </c>
      <c r="D193" t="s">
        <v>37</v>
      </c>
      <c r="E193" t="s">
        <v>52</v>
      </c>
      <c r="F193">
        <v>150</v>
      </c>
      <c r="G193">
        <v>2.9</v>
      </c>
      <c r="H193">
        <v>310972</v>
      </c>
      <c r="I193">
        <v>200</v>
      </c>
      <c r="J193">
        <v>4.3</v>
      </c>
    </row>
    <row r="194" spans="1:10" x14ac:dyDescent="0.3">
      <c r="A194">
        <v>193</v>
      </c>
      <c r="B194" t="s">
        <v>10</v>
      </c>
      <c r="C194">
        <v>2024</v>
      </c>
      <c r="D194" t="s">
        <v>38</v>
      </c>
      <c r="E194" t="s">
        <v>43</v>
      </c>
      <c r="F194">
        <v>17</v>
      </c>
      <c r="G194">
        <v>3.6</v>
      </c>
      <c r="H194">
        <v>787040</v>
      </c>
      <c r="I194">
        <v>246</v>
      </c>
      <c r="J194">
        <v>4.4000000000000004</v>
      </c>
    </row>
    <row r="195" spans="1:10" x14ac:dyDescent="0.3">
      <c r="A195">
        <v>194</v>
      </c>
      <c r="B195" t="s">
        <v>11</v>
      </c>
      <c r="C195">
        <v>2024</v>
      </c>
      <c r="D195" t="s">
        <v>38</v>
      </c>
      <c r="E195" t="s">
        <v>43</v>
      </c>
      <c r="F195">
        <v>17</v>
      </c>
      <c r="G195">
        <v>8.8000000000000007</v>
      </c>
      <c r="H195">
        <v>306749</v>
      </c>
      <c r="I195">
        <v>72</v>
      </c>
      <c r="J195">
        <v>4.8</v>
      </c>
    </row>
    <row r="196" spans="1:10" x14ac:dyDescent="0.3">
      <c r="A196">
        <v>195</v>
      </c>
      <c r="B196" t="s">
        <v>12</v>
      </c>
      <c r="C196">
        <v>2024</v>
      </c>
      <c r="D196" t="s">
        <v>38</v>
      </c>
      <c r="E196" t="s">
        <v>43</v>
      </c>
      <c r="F196">
        <v>17</v>
      </c>
      <c r="G196">
        <v>7.6</v>
      </c>
      <c r="H196">
        <v>797788</v>
      </c>
      <c r="I196">
        <v>194</v>
      </c>
      <c r="J196">
        <v>4.5999999999999996</v>
      </c>
    </row>
    <row r="197" spans="1:10" x14ac:dyDescent="0.3">
      <c r="A197">
        <v>196</v>
      </c>
      <c r="B197" t="s">
        <v>13</v>
      </c>
      <c r="C197">
        <v>2024</v>
      </c>
      <c r="D197" t="s">
        <v>38</v>
      </c>
      <c r="E197" t="s">
        <v>43</v>
      </c>
      <c r="F197">
        <v>17</v>
      </c>
      <c r="G197">
        <v>4.9000000000000004</v>
      </c>
      <c r="H197">
        <v>531270</v>
      </c>
      <c r="I197">
        <v>165</v>
      </c>
      <c r="J197">
        <v>4.5</v>
      </c>
    </row>
    <row r="198" spans="1:10" x14ac:dyDescent="0.3">
      <c r="A198">
        <v>197</v>
      </c>
      <c r="B198" t="s">
        <v>14</v>
      </c>
      <c r="C198">
        <v>2024</v>
      </c>
      <c r="D198" t="s">
        <v>38</v>
      </c>
      <c r="E198" t="s">
        <v>43</v>
      </c>
      <c r="F198">
        <v>17</v>
      </c>
      <c r="G198">
        <v>3.2</v>
      </c>
      <c r="H198">
        <v>121282</v>
      </c>
      <c r="I198">
        <v>56</v>
      </c>
      <c r="J198">
        <v>4.4000000000000004</v>
      </c>
    </row>
    <row r="199" spans="1:10" x14ac:dyDescent="0.3">
      <c r="A199">
        <v>198</v>
      </c>
      <c r="B199" t="s">
        <v>15</v>
      </c>
      <c r="C199">
        <v>2024</v>
      </c>
      <c r="D199" t="s">
        <v>38</v>
      </c>
      <c r="E199" t="s">
        <v>43</v>
      </c>
      <c r="F199">
        <v>17</v>
      </c>
      <c r="G199">
        <v>7.2</v>
      </c>
      <c r="H199">
        <v>277835</v>
      </c>
      <c r="I199">
        <v>52</v>
      </c>
      <c r="J199">
        <v>4.3</v>
      </c>
    </row>
    <row r="200" spans="1:10" x14ac:dyDescent="0.3">
      <c r="A200">
        <v>199</v>
      </c>
      <c r="B200" t="s">
        <v>16</v>
      </c>
      <c r="C200">
        <v>2024</v>
      </c>
      <c r="D200" t="s">
        <v>38</v>
      </c>
      <c r="E200" t="s">
        <v>43</v>
      </c>
      <c r="F200">
        <v>17</v>
      </c>
      <c r="G200">
        <v>8.6</v>
      </c>
      <c r="H200">
        <v>671258</v>
      </c>
      <c r="I200">
        <v>63</v>
      </c>
      <c r="J200">
        <v>4.9000000000000004</v>
      </c>
    </row>
    <row r="201" spans="1:10" x14ac:dyDescent="0.3">
      <c r="A201">
        <v>200</v>
      </c>
      <c r="B201" t="s">
        <v>17</v>
      </c>
      <c r="C201">
        <v>2024</v>
      </c>
      <c r="D201" t="s">
        <v>38</v>
      </c>
      <c r="E201" t="s">
        <v>43</v>
      </c>
      <c r="F201">
        <v>17</v>
      </c>
      <c r="G201">
        <v>7.5</v>
      </c>
      <c r="H201">
        <v>784909</v>
      </c>
      <c r="I201">
        <v>84</v>
      </c>
      <c r="J201">
        <v>4.3</v>
      </c>
    </row>
    <row r="202" spans="1:10" x14ac:dyDescent="0.3">
      <c r="A202">
        <v>201</v>
      </c>
      <c r="B202" t="s">
        <v>18</v>
      </c>
      <c r="C202">
        <v>2024</v>
      </c>
      <c r="D202" t="s">
        <v>38</v>
      </c>
      <c r="E202" t="s">
        <v>43</v>
      </c>
      <c r="F202">
        <v>17</v>
      </c>
      <c r="G202">
        <v>7.9</v>
      </c>
      <c r="H202">
        <v>145902</v>
      </c>
      <c r="I202">
        <v>228</v>
      </c>
      <c r="J202">
        <v>4.5999999999999996</v>
      </c>
    </row>
    <row r="203" spans="1:10" x14ac:dyDescent="0.3">
      <c r="A203">
        <v>202</v>
      </c>
      <c r="B203" t="s">
        <v>19</v>
      </c>
      <c r="C203">
        <v>2024</v>
      </c>
      <c r="D203" t="s">
        <v>38</v>
      </c>
      <c r="E203" t="s">
        <v>43</v>
      </c>
      <c r="F203">
        <v>17</v>
      </c>
      <c r="G203">
        <v>2.5</v>
      </c>
      <c r="H203">
        <v>586672</v>
      </c>
      <c r="I203">
        <v>205</v>
      </c>
      <c r="J203">
        <v>4.3</v>
      </c>
    </row>
    <row r="204" spans="1:10" x14ac:dyDescent="0.3">
      <c r="A204">
        <v>203</v>
      </c>
      <c r="B204" t="s">
        <v>20</v>
      </c>
      <c r="C204">
        <v>2024</v>
      </c>
      <c r="D204" t="s">
        <v>38</v>
      </c>
      <c r="E204" t="s">
        <v>43</v>
      </c>
      <c r="F204">
        <v>17</v>
      </c>
      <c r="G204">
        <v>6.3</v>
      </c>
      <c r="H204">
        <v>719804</v>
      </c>
      <c r="I204">
        <v>196</v>
      </c>
      <c r="J204">
        <v>4.5</v>
      </c>
    </row>
    <row r="205" spans="1:10" x14ac:dyDescent="0.3">
      <c r="A205">
        <v>204</v>
      </c>
      <c r="B205" t="s">
        <v>21</v>
      </c>
      <c r="C205">
        <v>2024</v>
      </c>
      <c r="D205" t="s">
        <v>38</v>
      </c>
      <c r="E205" t="s">
        <v>43</v>
      </c>
      <c r="F205">
        <v>17</v>
      </c>
      <c r="G205">
        <v>7.7</v>
      </c>
      <c r="H205">
        <v>247714</v>
      </c>
      <c r="I205">
        <v>95</v>
      </c>
      <c r="J205">
        <v>4.4000000000000004</v>
      </c>
    </row>
    <row r="206" spans="1:10" x14ac:dyDescent="0.3">
      <c r="A206">
        <v>205</v>
      </c>
      <c r="B206" t="s">
        <v>10</v>
      </c>
      <c r="C206">
        <v>2024</v>
      </c>
      <c r="D206" t="s">
        <v>39</v>
      </c>
      <c r="E206" t="s">
        <v>46</v>
      </c>
      <c r="F206">
        <v>131</v>
      </c>
      <c r="G206">
        <v>7.7</v>
      </c>
      <c r="H206">
        <v>575984</v>
      </c>
      <c r="I206">
        <v>219</v>
      </c>
      <c r="J206">
        <v>4.5999999999999996</v>
      </c>
    </row>
    <row r="207" spans="1:10" x14ac:dyDescent="0.3">
      <c r="A207">
        <v>206</v>
      </c>
      <c r="B207" t="s">
        <v>11</v>
      </c>
      <c r="C207">
        <v>2024</v>
      </c>
      <c r="D207" t="s">
        <v>39</v>
      </c>
      <c r="E207" t="s">
        <v>46</v>
      </c>
      <c r="F207">
        <v>131</v>
      </c>
      <c r="G207">
        <v>2.4</v>
      </c>
      <c r="H207">
        <v>371752</v>
      </c>
      <c r="I207">
        <v>227</v>
      </c>
      <c r="J207">
        <v>4.8</v>
      </c>
    </row>
    <row r="208" spans="1:10" x14ac:dyDescent="0.3">
      <c r="A208">
        <v>207</v>
      </c>
      <c r="B208" t="s">
        <v>12</v>
      </c>
      <c r="C208">
        <v>2024</v>
      </c>
      <c r="D208" t="s">
        <v>39</v>
      </c>
      <c r="E208" t="s">
        <v>46</v>
      </c>
      <c r="F208">
        <v>131</v>
      </c>
      <c r="G208">
        <v>7.6</v>
      </c>
      <c r="H208">
        <v>620224</v>
      </c>
      <c r="I208">
        <v>33</v>
      </c>
      <c r="J208">
        <v>4.7</v>
      </c>
    </row>
    <row r="209" spans="1:10" x14ac:dyDescent="0.3">
      <c r="A209">
        <v>208</v>
      </c>
      <c r="B209" t="s">
        <v>13</v>
      </c>
      <c r="C209">
        <v>2024</v>
      </c>
      <c r="D209" t="s">
        <v>39</v>
      </c>
      <c r="E209" t="s">
        <v>46</v>
      </c>
      <c r="F209">
        <v>131</v>
      </c>
      <c r="G209">
        <v>9.6999999999999993</v>
      </c>
      <c r="H209">
        <v>775671</v>
      </c>
      <c r="I209">
        <v>206</v>
      </c>
      <c r="J209">
        <v>4.2</v>
      </c>
    </row>
    <row r="210" spans="1:10" x14ac:dyDescent="0.3">
      <c r="A210">
        <v>209</v>
      </c>
      <c r="B210" t="s">
        <v>14</v>
      </c>
      <c r="C210">
        <v>2024</v>
      </c>
      <c r="D210" t="s">
        <v>39</v>
      </c>
      <c r="E210" t="s">
        <v>46</v>
      </c>
      <c r="F210">
        <v>131</v>
      </c>
      <c r="G210">
        <v>4.5</v>
      </c>
      <c r="H210">
        <v>309281</v>
      </c>
      <c r="I210">
        <v>170</v>
      </c>
      <c r="J210">
        <v>4.4000000000000004</v>
      </c>
    </row>
    <row r="211" spans="1:10" x14ac:dyDescent="0.3">
      <c r="A211">
        <v>210</v>
      </c>
      <c r="B211" t="s">
        <v>15</v>
      </c>
      <c r="C211">
        <v>2024</v>
      </c>
      <c r="D211" t="s">
        <v>39</v>
      </c>
      <c r="E211" t="s">
        <v>46</v>
      </c>
      <c r="F211">
        <v>131</v>
      </c>
      <c r="G211">
        <v>8.5</v>
      </c>
      <c r="H211">
        <v>356233</v>
      </c>
      <c r="I211">
        <v>21</v>
      </c>
      <c r="J211">
        <v>4.8</v>
      </c>
    </row>
    <row r="212" spans="1:10" x14ac:dyDescent="0.3">
      <c r="A212">
        <v>211</v>
      </c>
      <c r="B212" t="s">
        <v>16</v>
      </c>
      <c r="C212">
        <v>2024</v>
      </c>
      <c r="D212" t="s">
        <v>39</v>
      </c>
      <c r="E212" t="s">
        <v>46</v>
      </c>
      <c r="F212">
        <v>131</v>
      </c>
      <c r="G212">
        <v>3.8</v>
      </c>
      <c r="H212">
        <v>316820</v>
      </c>
      <c r="I212">
        <v>26</v>
      </c>
      <c r="J212">
        <v>4.3</v>
      </c>
    </row>
    <row r="213" spans="1:10" x14ac:dyDescent="0.3">
      <c r="A213">
        <v>212</v>
      </c>
      <c r="B213" t="s">
        <v>17</v>
      </c>
      <c r="C213">
        <v>2024</v>
      </c>
      <c r="D213" t="s">
        <v>39</v>
      </c>
      <c r="E213" t="s">
        <v>46</v>
      </c>
      <c r="F213">
        <v>131</v>
      </c>
      <c r="G213">
        <v>2.7</v>
      </c>
      <c r="H213">
        <v>337450</v>
      </c>
      <c r="I213">
        <v>139</v>
      </c>
      <c r="J213">
        <v>4.8</v>
      </c>
    </row>
    <row r="214" spans="1:10" x14ac:dyDescent="0.3">
      <c r="A214">
        <v>213</v>
      </c>
      <c r="B214" t="s">
        <v>18</v>
      </c>
      <c r="C214">
        <v>2024</v>
      </c>
      <c r="D214" t="s">
        <v>39</v>
      </c>
      <c r="E214" t="s">
        <v>46</v>
      </c>
      <c r="F214">
        <v>131</v>
      </c>
      <c r="G214">
        <v>6.6</v>
      </c>
      <c r="H214">
        <v>384986</v>
      </c>
      <c r="I214">
        <v>63</v>
      </c>
      <c r="J214">
        <v>4.5</v>
      </c>
    </row>
    <row r="215" spans="1:10" x14ac:dyDescent="0.3">
      <c r="A215">
        <v>214</v>
      </c>
      <c r="B215" t="s">
        <v>19</v>
      </c>
      <c r="C215">
        <v>2024</v>
      </c>
      <c r="D215" t="s">
        <v>39</v>
      </c>
      <c r="E215" t="s">
        <v>46</v>
      </c>
      <c r="F215">
        <v>131</v>
      </c>
      <c r="G215">
        <v>6.3</v>
      </c>
      <c r="H215">
        <v>807199</v>
      </c>
      <c r="I215">
        <v>102</v>
      </c>
      <c r="J215">
        <v>4.9000000000000004</v>
      </c>
    </row>
    <row r="216" spans="1:10" x14ac:dyDescent="0.3">
      <c r="A216">
        <v>215</v>
      </c>
      <c r="B216" t="s">
        <v>20</v>
      </c>
      <c r="C216">
        <v>2024</v>
      </c>
      <c r="D216" t="s">
        <v>39</v>
      </c>
      <c r="E216" t="s">
        <v>46</v>
      </c>
      <c r="F216">
        <v>131</v>
      </c>
      <c r="G216">
        <v>4.5</v>
      </c>
      <c r="H216">
        <v>642563</v>
      </c>
      <c r="I216">
        <v>39</v>
      </c>
      <c r="J216">
        <v>4.4000000000000004</v>
      </c>
    </row>
    <row r="217" spans="1:10" x14ac:dyDescent="0.3">
      <c r="A217">
        <v>216</v>
      </c>
      <c r="B217" t="s">
        <v>21</v>
      </c>
      <c r="C217">
        <v>2024</v>
      </c>
      <c r="D217" t="s">
        <v>39</v>
      </c>
      <c r="E217" t="s">
        <v>46</v>
      </c>
      <c r="F217">
        <v>131</v>
      </c>
      <c r="G217">
        <v>6.8</v>
      </c>
      <c r="H217">
        <v>320095</v>
      </c>
      <c r="I217">
        <v>97</v>
      </c>
      <c r="J217">
        <v>4.5999999999999996</v>
      </c>
    </row>
    <row r="218" spans="1:10" x14ac:dyDescent="0.3">
      <c r="A218">
        <v>217</v>
      </c>
      <c r="B218" t="s">
        <v>10</v>
      </c>
      <c r="C218">
        <v>2024</v>
      </c>
      <c r="D218" t="s">
        <v>40</v>
      </c>
      <c r="E218" t="s">
        <v>47</v>
      </c>
      <c r="F218">
        <v>91</v>
      </c>
      <c r="G218">
        <v>6</v>
      </c>
      <c r="H218">
        <v>593920</v>
      </c>
      <c r="I218">
        <v>53</v>
      </c>
      <c r="J218">
        <v>4.5</v>
      </c>
    </row>
    <row r="219" spans="1:10" x14ac:dyDescent="0.3">
      <c r="A219">
        <v>218</v>
      </c>
      <c r="B219" t="s">
        <v>11</v>
      </c>
      <c r="C219">
        <v>2024</v>
      </c>
      <c r="D219" t="s">
        <v>40</v>
      </c>
      <c r="E219" t="s">
        <v>47</v>
      </c>
      <c r="F219">
        <v>91</v>
      </c>
      <c r="G219">
        <v>8.1999999999999993</v>
      </c>
      <c r="H219">
        <v>132542</v>
      </c>
      <c r="I219">
        <v>160</v>
      </c>
      <c r="J219">
        <v>4.3</v>
      </c>
    </row>
    <row r="220" spans="1:10" x14ac:dyDescent="0.3">
      <c r="A220">
        <v>219</v>
      </c>
      <c r="B220" t="s">
        <v>12</v>
      </c>
      <c r="C220">
        <v>2024</v>
      </c>
      <c r="D220" t="s">
        <v>40</v>
      </c>
      <c r="E220" t="s">
        <v>47</v>
      </c>
      <c r="F220">
        <v>91</v>
      </c>
      <c r="G220">
        <v>7.1</v>
      </c>
      <c r="H220">
        <v>331634</v>
      </c>
      <c r="I220">
        <v>50</v>
      </c>
      <c r="J220">
        <v>4.4000000000000004</v>
      </c>
    </row>
    <row r="221" spans="1:10" x14ac:dyDescent="0.3">
      <c r="A221">
        <v>220</v>
      </c>
      <c r="B221" t="s">
        <v>13</v>
      </c>
      <c r="C221">
        <v>2024</v>
      </c>
      <c r="D221" t="s">
        <v>40</v>
      </c>
      <c r="E221" t="s">
        <v>47</v>
      </c>
      <c r="F221">
        <v>91</v>
      </c>
      <c r="G221">
        <v>3.6</v>
      </c>
      <c r="H221">
        <v>671674</v>
      </c>
      <c r="I221">
        <v>185</v>
      </c>
      <c r="J221">
        <v>4.2</v>
      </c>
    </row>
    <row r="222" spans="1:10" x14ac:dyDescent="0.3">
      <c r="A222">
        <v>221</v>
      </c>
      <c r="B222" t="s">
        <v>14</v>
      </c>
      <c r="C222">
        <v>2024</v>
      </c>
      <c r="D222" t="s">
        <v>40</v>
      </c>
      <c r="E222" t="s">
        <v>47</v>
      </c>
      <c r="F222">
        <v>91</v>
      </c>
      <c r="G222">
        <v>10</v>
      </c>
      <c r="H222">
        <v>181891</v>
      </c>
      <c r="I222">
        <v>166</v>
      </c>
      <c r="J222">
        <v>4.7</v>
      </c>
    </row>
    <row r="223" spans="1:10" x14ac:dyDescent="0.3">
      <c r="A223">
        <v>222</v>
      </c>
      <c r="B223" t="s">
        <v>15</v>
      </c>
      <c r="C223">
        <v>2024</v>
      </c>
      <c r="D223" t="s">
        <v>40</v>
      </c>
      <c r="E223" t="s">
        <v>47</v>
      </c>
      <c r="F223">
        <v>91</v>
      </c>
      <c r="G223">
        <v>8</v>
      </c>
      <c r="H223">
        <v>741154</v>
      </c>
      <c r="I223">
        <v>155</v>
      </c>
      <c r="J223">
        <v>4.5</v>
      </c>
    </row>
    <row r="224" spans="1:10" x14ac:dyDescent="0.3">
      <c r="A224">
        <v>223</v>
      </c>
      <c r="B224" t="s">
        <v>16</v>
      </c>
      <c r="C224">
        <v>2024</v>
      </c>
      <c r="D224" t="s">
        <v>40</v>
      </c>
      <c r="E224" t="s">
        <v>47</v>
      </c>
      <c r="F224">
        <v>91</v>
      </c>
      <c r="G224">
        <v>6.6</v>
      </c>
      <c r="H224">
        <v>157406</v>
      </c>
      <c r="I224">
        <v>187</v>
      </c>
      <c r="J224">
        <v>4.5999999999999996</v>
      </c>
    </row>
    <row r="225" spans="1:10" x14ac:dyDescent="0.3">
      <c r="A225">
        <v>224</v>
      </c>
      <c r="B225" t="s">
        <v>17</v>
      </c>
      <c r="C225">
        <v>2024</v>
      </c>
      <c r="D225" t="s">
        <v>40</v>
      </c>
      <c r="E225" t="s">
        <v>47</v>
      </c>
      <c r="F225">
        <v>91</v>
      </c>
      <c r="G225">
        <v>7.2</v>
      </c>
      <c r="H225">
        <v>726579</v>
      </c>
      <c r="I225">
        <v>168</v>
      </c>
      <c r="J225">
        <v>4.3</v>
      </c>
    </row>
    <row r="226" spans="1:10" x14ac:dyDescent="0.3">
      <c r="A226">
        <v>225</v>
      </c>
      <c r="B226" t="s">
        <v>18</v>
      </c>
      <c r="C226">
        <v>2024</v>
      </c>
      <c r="D226" t="s">
        <v>40</v>
      </c>
      <c r="E226" t="s">
        <v>47</v>
      </c>
      <c r="F226">
        <v>91</v>
      </c>
      <c r="G226">
        <v>7.7</v>
      </c>
      <c r="H226">
        <v>758378</v>
      </c>
      <c r="I226">
        <v>225</v>
      </c>
      <c r="J226">
        <v>4.5</v>
      </c>
    </row>
    <row r="227" spans="1:10" x14ac:dyDescent="0.3">
      <c r="A227">
        <v>226</v>
      </c>
      <c r="B227" t="s">
        <v>19</v>
      </c>
      <c r="C227">
        <v>2024</v>
      </c>
      <c r="D227" t="s">
        <v>40</v>
      </c>
      <c r="E227" t="s">
        <v>47</v>
      </c>
      <c r="F227">
        <v>91</v>
      </c>
      <c r="G227">
        <v>6.3</v>
      </c>
      <c r="H227">
        <v>247360</v>
      </c>
      <c r="I227">
        <v>121</v>
      </c>
      <c r="J227">
        <v>4.8</v>
      </c>
    </row>
    <row r="228" spans="1:10" x14ac:dyDescent="0.3">
      <c r="A228">
        <v>227</v>
      </c>
      <c r="B228" t="s">
        <v>20</v>
      </c>
      <c r="C228">
        <v>2024</v>
      </c>
      <c r="D228" t="s">
        <v>40</v>
      </c>
      <c r="E228" t="s">
        <v>47</v>
      </c>
      <c r="F228">
        <v>91</v>
      </c>
      <c r="G228">
        <v>5.8</v>
      </c>
      <c r="H228">
        <v>738917</v>
      </c>
      <c r="I228">
        <v>142</v>
      </c>
      <c r="J228">
        <v>4.8</v>
      </c>
    </row>
    <row r="229" spans="1:10" x14ac:dyDescent="0.3">
      <c r="A229">
        <v>228</v>
      </c>
      <c r="B229" t="s">
        <v>21</v>
      </c>
      <c r="C229">
        <v>2024</v>
      </c>
      <c r="D229" t="s">
        <v>40</v>
      </c>
      <c r="E229" t="s">
        <v>47</v>
      </c>
      <c r="F229">
        <v>91</v>
      </c>
      <c r="G229">
        <v>4.2</v>
      </c>
      <c r="H229">
        <v>759991</v>
      </c>
      <c r="I229">
        <v>99</v>
      </c>
      <c r="J229">
        <v>4.2</v>
      </c>
    </row>
    <row r="230" spans="1:10" x14ac:dyDescent="0.3">
      <c r="A230">
        <v>229</v>
      </c>
      <c r="B230" t="s">
        <v>10</v>
      </c>
      <c r="C230">
        <v>2024</v>
      </c>
      <c r="D230" t="s">
        <v>41</v>
      </c>
      <c r="E230" t="s">
        <v>53</v>
      </c>
      <c r="F230">
        <v>96</v>
      </c>
      <c r="G230">
        <v>2.4</v>
      </c>
      <c r="H230">
        <v>441856</v>
      </c>
      <c r="I230">
        <v>81</v>
      </c>
      <c r="J230">
        <v>4.8</v>
      </c>
    </row>
    <row r="231" spans="1:10" x14ac:dyDescent="0.3">
      <c r="A231">
        <v>230</v>
      </c>
      <c r="B231" t="s">
        <v>11</v>
      </c>
      <c r="C231">
        <v>2024</v>
      </c>
      <c r="D231" t="s">
        <v>41</v>
      </c>
      <c r="E231" t="s">
        <v>53</v>
      </c>
      <c r="F231">
        <v>96</v>
      </c>
      <c r="G231">
        <v>3.9</v>
      </c>
      <c r="H231">
        <v>487882</v>
      </c>
      <c r="I231">
        <v>143</v>
      </c>
      <c r="J231">
        <v>4.7</v>
      </c>
    </row>
    <row r="232" spans="1:10" x14ac:dyDescent="0.3">
      <c r="A232">
        <v>231</v>
      </c>
      <c r="B232" t="s">
        <v>12</v>
      </c>
      <c r="C232">
        <v>2024</v>
      </c>
      <c r="D232" t="s">
        <v>41</v>
      </c>
      <c r="E232" t="s">
        <v>53</v>
      </c>
      <c r="F232">
        <v>96</v>
      </c>
      <c r="G232">
        <v>6.2</v>
      </c>
      <c r="H232">
        <v>757739</v>
      </c>
      <c r="I232">
        <v>250</v>
      </c>
      <c r="J232">
        <v>4.3</v>
      </c>
    </row>
    <row r="233" spans="1:10" x14ac:dyDescent="0.3">
      <c r="A233">
        <v>232</v>
      </c>
      <c r="B233" t="s">
        <v>13</v>
      </c>
      <c r="C233">
        <v>2024</v>
      </c>
      <c r="D233" t="s">
        <v>41</v>
      </c>
      <c r="E233" t="s">
        <v>53</v>
      </c>
      <c r="F233">
        <v>96</v>
      </c>
      <c r="G233">
        <v>3.6</v>
      </c>
      <c r="H233">
        <v>337382</v>
      </c>
      <c r="I233">
        <v>209</v>
      </c>
      <c r="J233">
        <v>4.3</v>
      </c>
    </row>
    <row r="234" spans="1:10" x14ac:dyDescent="0.3">
      <c r="A234">
        <v>233</v>
      </c>
      <c r="B234" t="s">
        <v>14</v>
      </c>
      <c r="C234">
        <v>2024</v>
      </c>
      <c r="D234" t="s">
        <v>41</v>
      </c>
      <c r="E234" t="s">
        <v>53</v>
      </c>
      <c r="F234">
        <v>96</v>
      </c>
      <c r="G234">
        <v>6.9</v>
      </c>
      <c r="H234">
        <v>441645</v>
      </c>
      <c r="I234">
        <v>172</v>
      </c>
      <c r="J234">
        <v>4.3</v>
      </c>
    </row>
    <row r="235" spans="1:10" x14ac:dyDescent="0.3">
      <c r="A235">
        <v>234</v>
      </c>
      <c r="B235" t="s">
        <v>15</v>
      </c>
      <c r="C235">
        <v>2024</v>
      </c>
      <c r="D235" t="s">
        <v>41</v>
      </c>
      <c r="E235" t="s">
        <v>53</v>
      </c>
      <c r="F235">
        <v>96</v>
      </c>
      <c r="G235">
        <v>8.6</v>
      </c>
      <c r="H235">
        <v>579685</v>
      </c>
      <c r="I235">
        <v>101</v>
      </c>
      <c r="J235">
        <v>4.2</v>
      </c>
    </row>
    <row r="236" spans="1:10" x14ac:dyDescent="0.3">
      <c r="A236">
        <v>235</v>
      </c>
      <c r="B236" t="s">
        <v>16</v>
      </c>
      <c r="C236">
        <v>2024</v>
      </c>
      <c r="D236" t="s">
        <v>41</v>
      </c>
      <c r="E236" t="s">
        <v>53</v>
      </c>
      <c r="F236">
        <v>96</v>
      </c>
      <c r="G236">
        <v>7.6</v>
      </c>
      <c r="H236">
        <v>337463</v>
      </c>
      <c r="I236">
        <v>107</v>
      </c>
      <c r="J236">
        <v>4.7</v>
      </c>
    </row>
    <row r="237" spans="1:10" x14ac:dyDescent="0.3">
      <c r="A237">
        <v>236</v>
      </c>
      <c r="B237" t="s">
        <v>17</v>
      </c>
      <c r="C237">
        <v>2024</v>
      </c>
      <c r="D237" t="s">
        <v>41</v>
      </c>
      <c r="E237" t="s">
        <v>53</v>
      </c>
      <c r="F237">
        <v>96</v>
      </c>
      <c r="G237">
        <v>3.3</v>
      </c>
      <c r="H237">
        <v>604297</v>
      </c>
      <c r="I237">
        <v>92</v>
      </c>
      <c r="J237">
        <v>4.8</v>
      </c>
    </row>
    <row r="238" spans="1:10" x14ac:dyDescent="0.3">
      <c r="A238">
        <v>237</v>
      </c>
      <c r="B238" t="s">
        <v>18</v>
      </c>
      <c r="C238">
        <v>2024</v>
      </c>
      <c r="D238" t="s">
        <v>41</v>
      </c>
      <c r="E238" t="s">
        <v>53</v>
      </c>
      <c r="F238">
        <v>96</v>
      </c>
      <c r="G238">
        <v>7.1</v>
      </c>
      <c r="H238">
        <v>797183</v>
      </c>
      <c r="I238">
        <v>215</v>
      </c>
      <c r="J238">
        <v>4.8</v>
      </c>
    </row>
    <row r="239" spans="1:10" x14ac:dyDescent="0.3">
      <c r="A239">
        <v>238</v>
      </c>
      <c r="B239" t="s">
        <v>19</v>
      </c>
      <c r="C239">
        <v>2024</v>
      </c>
      <c r="D239" t="s">
        <v>41</v>
      </c>
      <c r="E239" t="s">
        <v>53</v>
      </c>
      <c r="F239">
        <v>96</v>
      </c>
      <c r="G239">
        <v>7.4</v>
      </c>
      <c r="H239">
        <v>320972</v>
      </c>
      <c r="I239">
        <v>110</v>
      </c>
      <c r="J239">
        <v>4.5999999999999996</v>
      </c>
    </row>
    <row r="240" spans="1:10" x14ac:dyDescent="0.3">
      <c r="A240">
        <v>239</v>
      </c>
      <c r="B240" t="s">
        <v>20</v>
      </c>
      <c r="C240">
        <v>2024</v>
      </c>
      <c r="D240" t="s">
        <v>41</v>
      </c>
      <c r="E240" t="s">
        <v>53</v>
      </c>
      <c r="F240">
        <v>96</v>
      </c>
      <c r="G240">
        <v>5.8</v>
      </c>
      <c r="H240">
        <v>832986</v>
      </c>
      <c r="I240">
        <v>44</v>
      </c>
      <c r="J240">
        <v>4.7</v>
      </c>
    </row>
    <row r="241" spans="1:10" x14ac:dyDescent="0.3">
      <c r="A241">
        <v>240</v>
      </c>
      <c r="B241" t="s">
        <v>21</v>
      </c>
      <c r="C241">
        <v>2024</v>
      </c>
      <c r="D241" t="s">
        <v>41</v>
      </c>
      <c r="E241" t="s">
        <v>53</v>
      </c>
      <c r="F241">
        <v>96</v>
      </c>
      <c r="G241">
        <v>7.8</v>
      </c>
      <c r="H241">
        <v>574784</v>
      </c>
      <c r="I241">
        <v>117</v>
      </c>
      <c r="J241">
        <v>4.2</v>
      </c>
    </row>
    <row r="242" spans="1:10" x14ac:dyDescent="0.3">
      <c r="A242">
        <v>241</v>
      </c>
      <c r="B242" t="s">
        <v>10</v>
      </c>
      <c r="C242">
        <v>2025</v>
      </c>
      <c r="D242" t="s">
        <v>22</v>
      </c>
      <c r="E242" t="s">
        <v>42</v>
      </c>
      <c r="F242">
        <v>20</v>
      </c>
      <c r="G242">
        <v>3</v>
      </c>
      <c r="H242">
        <v>374802</v>
      </c>
      <c r="I242">
        <v>155</v>
      </c>
      <c r="J242">
        <v>4.5999999999999996</v>
      </c>
    </row>
    <row r="243" spans="1:10" x14ac:dyDescent="0.3">
      <c r="A243">
        <v>242</v>
      </c>
      <c r="B243" t="s">
        <v>11</v>
      </c>
      <c r="C243">
        <v>2025</v>
      </c>
      <c r="D243" t="s">
        <v>22</v>
      </c>
      <c r="E243" t="s">
        <v>42</v>
      </c>
      <c r="F243">
        <v>20</v>
      </c>
      <c r="G243">
        <v>3.3</v>
      </c>
      <c r="H243">
        <v>787041</v>
      </c>
      <c r="I243">
        <v>101</v>
      </c>
      <c r="J243">
        <v>4.5999999999999996</v>
      </c>
    </row>
    <row r="244" spans="1:10" x14ac:dyDescent="0.3">
      <c r="A244">
        <v>243</v>
      </c>
      <c r="B244" t="s">
        <v>12</v>
      </c>
      <c r="C244">
        <v>2025</v>
      </c>
      <c r="D244" t="s">
        <v>22</v>
      </c>
      <c r="E244" t="s">
        <v>42</v>
      </c>
      <c r="F244">
        <v>20</v>
      </c>
      <c r="G244">
        <v>8.3000000000000007</v>
      </c>
      <c r="H244">
        <v>783196</v>
      </c>
      <c r="I244">
        <v>194</v>
      </c>
      <c r="J244">
        <v>4.3</v>
      </c>
    </row>
    <row r="245" spans="1:10" x14ac:dyDescent="0.3">
      <c r="A245">
        <v>244</v>
      </c>
      <c r="B245" t="s">
        <v>13</v>
      </c>
      <c r="C245">
        <v>2025</v>
      </c>
      <c r="D245" t="s">
        <v>22</v>
      </c>
      <c r="E245" t="s">
        <v>42</v>
      </c>
      <c r="F245">
        <v>20</v>
      </c>
      <c r="G245">
        <v>3.4</v>
      </c>
      <c r="H245">
        <v>621672</v>
      </c>
      <c r="I245">
        <v>63</v>
      </c>
      <c r="J245">
        <v>4.2</v>
      </c>
    </row>
    <row r="246" spans="1:10" x14ac:dyDescent="0.3">
      <c r="A246">
        <v>245</v>
      </c>
      <c r="B246" t="s">
        <v>14</v>
      </c>
      <c r="C246">
        <v>2025</v>
      </c>
      <c r="D246" t="s">
        <v>22</v>
      </c>
      <c r="E246" t="s">
        <v>42</v>
      </c>
      <c r="F246">
        <v>20</v>
      </c>
      <c r="G246">
        <v>9.3000000000000007</v>
      </c>
      <c r="H246">
        <v>216285</v>
      </c>
      <c r="I246">
        <v>215</v>
      </c>
      <c r="J246">
        <v>4.4000000000000004</v>
      </c>
    </row>
    <row r="247" spans="1:10" x14ac:dyDescent="0.3">
      <c r="A247">
        <v>246</v>
      </c>
      <c r="B247" t="s">
        <v>15</v>
      </c>
      <c r="C247">
        <v>2025</v>
      </c>
      <c r="D247" t="s">
        <v>22</v>
      </c>
      <c r="E247" t="s">
        <v>42</v>
      </c>
      <c r="F247">
        <v>20</v>
      </c>
      <c r="G247">
        <v>3.8</v>
      </c>
      <c r="H247">
        <v>587294</v>
      </c>
      <c r="I247">
        <v>137</v>
      </c>
      <c r="J247">
        <v>4.3</v>
      </c>
    </row>
    <row r="248" spans="1:10" x14ac:dyDescent="0.3">
      <c r="A248">
        <v>247</v>
      </c>
      <c r="B248" t="s">
        <v>16</v>
      </c>
      <c r="C248">
        <v>2025</v>
      </c>
      <c r="D248" t="s">
        <v>22</v>
      </c>
      <c r="E248" t="s">
        <v>42</v>
      </c>
      <c r="F248">
        <v>20</v>
      </c>
      <c r="G248">
        <v>7.1</v>
      </c>
      <c r="H248">
        <v>503477</v>
      </c>
      <c r="I248">
        <v>48</v>
      </c>
      <c r="J248">
        <v>4.4000000000000004</v>
      </c>
    </row>
    <row r="249" spans="1:10" x14ac:dyDescent="0.3">
      <c r="A249">
        <v>248</v>
      </c>
      <c r="B249" t="s">
        <v>17</v>
      </c>
      <c r="C249">
        <v>2025</v>
      </c>
      <c r="D249" t="s">
        <v>22</v>
      </c>
      <c r="E249" t="s">
        <v>42</v>
      </c>
      <c r="F249">
        <v>20</v>
      </c>
      <c r="G249">
        <v>3.8</v>
      </c>
      <c r="H249">
        <v>654785</v>
      </c>
      <c r="I249">
        <v>22</v>
      </c>
      <c r="J249">
        <v>4.2</v>
      </c>
    </row>
    <row r="250" spans="1:10" x14ac:dyDescent="0.3">
      <c r="A250">
        <v>249</v>
      </c>
      <c r="B250" t="s">
        <v>18</v>
      </c>
      <c r="C250">
        <v>2025</v>
      </c>
      <c r="D250" t="s">
        <v>22</v>
      </c>
      <c r="E250" t="s">
        <v>42</v>
      </c>
      <c r="F250">
        <v>20</v>
      </c>
      <c r="G250">
        <v>5.9</v>
      </c>
      <c r="H250">
        <v>608842</v>
      </c>
      <c r="I250">
        <v>201</v>
      </c>
      <c r="J250">
        <v>4.2</v>
      </c>
    </row>
    <row r="251" spans="1:10" x14ac:dyDescent="0.3">
      <c r="A251">
        <v>250</v>
      </c>
      <c r="B251" t="s">
        <v>19</v>
      </c>
      <c r="C251">
        <v>2025</v>
      </c>
      <c r="D251" t="s">
        <v>22</v>
      </c>
      <c r="E251" t="s">
        <v>42</v>
      </c>
      <c r="F251">
        <v>20</v>
      </c>
      <c r="G251">
        <v>3.5</v>
      </c>
      <c r="H251">
        <v>318105</v>
      </c>
      <c r="I251">
        <v>144</v>
      </c>
      <c r="J251">
        <v>4.5999999999999996</v>
      </c>
    </row>
    <row r="252" spans="1:10" x14ac:dyDescent="0.3">
      <c r="A252">
        <v>251</v>
      </c>
      <c r="B252" t="s">
        <v>10</v>
      </c>
      <c r="C252">
        <v>2025</v>
      </c>
      <c r="D252" t="s">
        <v>23</v>
      </c>
      <c r="E252" t="s">
        <v>42</v>
      </c>
      <c r="F252">
        <v>67</v>
      </c>
      <c r="G252">
        <v>7.5</v>
      </c>
      <c r="H252">
        <v>688397</v>
      </c>
      <c r="I252">
        <v>135</v>
      </c>
      <c r="J252">
        <v>4.5</v>
      </c>
    </row>
    <row r="253" spans="1:10" x14ac:dyDescent="0.3">
      <c r="A253">
        <v>252</v>
      </c>
      <c r="B253" t="s">
        <v>11</v>
      </c>
      <c r="C253">
        <v>2025</v>
      </c>
      <c r="D253" t="s">
        <v>23</v>
      </c>
      <c r="E253" t="s">
        <v>42</v>
      </c>
      <c r="F253">
        <v>67</v>
      </c>
      <c r="G253">
        <v>3</v>
      </c>
      <c r="H253">
        <v>491344</v>
      </c>
      <c r="I253">
        <v>59</v>
      </c>
      <c r="J253">
        <v>4.4000000000000004</v>
      </c>
    </row>
    <row r="254" spans="1:10" x14ac:dyDescent="0.3">
      <c r="A254">
        <v>253</v>
      </c>
      <c r="B254" t="s">
        <v>12</v>
      </c>
      <c r="C254">
        <v>2025</v>
      </c>
      <c r="D254" t="s">
        <v>23</v>
      </c>
      <c r="E254" t="s">
        <v>42</v>
      </c>
      <c r="F254">
        <v>67</v>
      </c>
      <c r="G254">
        <v>9.4</v>
      </c>
      <c r="H254">
        <v>501017</v>
      </c>
      <c r="I254">
        <v>127</v>
      </c>
      <c r="J254">
        <v>4.8</v>
      </c>
    </row>
    <row r="255" spans="1:10" x14ac:dyDescent="0.3">
      <c r="A255">
        <v>254</v>
      </c>
      <c r="B255" t="s">
        <v>13</v>
      </c>
      <c r="C255">
        <v>2025</v>
      </c>
      <c r="D255" t="s">
        <v>23</v>
      </c>
      <c r="E255" t="s">
        <v>42</v>
      </c>
      <c r="F255">
        <v>67</v>
      </c>
      <c r="G255">
        <v>6.2</v>
      </c>
      <c r="H255">
        <v>461469</v>
      </c>
      <c r="I255">
        <v>113</v>
      </c>
      <c r="J255">
        <v>4.9000000000000004</v>
      </c>
    </row>
    <row r="256" spans="1:10" x14ac:dyDescent="0.3">
      <c r="A256">
        <v>255</v>
      </c>
      <c r="B256" t="s">
        <v>14</v>
      </c>
      <c r="C256">
        <v>2025</v>
      </c>
      <c r="D256" t="s">
        <v>23</v>
      </c>
      <c r="E256" t="s">
        <v>42</v>
      </c>
      <c r="F256">
        <v>67</v>
      </c>
      <c r="G256">
        <v>7.2</v>
      </c>
      <c r="H256">
        <v>545114</v>
      </c>
      <c r="I256">
        <v>202</v>
      </c>
      <c r="J256">
        <v>4.3</v>
      </c>
    </row>
    <row r="257" spans="1:10" x14ac:dyDescent="0.3">
      <c r="A257">
        <v>256</v>
      </c>
      <c r="B257" t="s">
        <v>15</v>
      </c>
      <c r="C257">
        <v>2025</v>
      </c>
      <c r="D257" t="s">
        <v>23</v>
      </c>
      <c r="E257" t="s">
        <v>42</v>
      </c>
      <c r="F257">
        <v>67</v>
      </c>
      <c r="G257">
        <v>7.6</v>
      </c>
      <c r="H257">
        <v>100172</v>
      </c>
      <c r="I257">
        <v>32</v>
      </c>
      <c r="J257">
        <v>4.8</v>
      </c>
    </row>
    <row r="258" spans="1:10" x14ac:dyDescent="0.3">
      <c r="A258">
        <v>257</v>
      </c>
      <c r="B258" t="s">
        <v>16</v>
      </c>
      <c r="C258">
        <v>2025</v>
      </c>
      <c r="D258" t="s">
        <v>23</v>
      </c>
      <c r="E258" t="s">
        <v>42</v>
      </c>
      <c r="F258">
        <v>67</v>
      </c>
      <c r="G258">
        <v>2.9</v>
      </c>
      <c r="H258">
        <v>719256</v>
      </c>
      <c r="I258">
        <v>68</v>
      </c>
      <c r="J258">
        <v>4.4000000000000004</v>
      </c>
    </row>
    <row r="259" spans="1:10" x14ac:dyDescent="0.3">
      <c r="A259">
        <v>258</v>
      </c>
      <c r="B259" t="s">
        <v>17</v>
      </c>
      <c r="C259">
        <v>2025</v>
      </c>
      <c r="D259" t="s">
        <v>23</v>
      </c>
      <c r="E259" t="s">
        <v>42</v>
      </c>
      <c r="F259">
        <v>67</v>
      </c>
      <c r="G259">
        <v>3.3</v>
      </c>
      <c r="H259">
        <v>441048</v>
      </c>
      <c r="I259">
        <v>120</v>
      </c>
      <c r="J259">
        <v>4.9000000000000004</v>
      </c>
    </row>
    <row r="260" spans="1:10" x14ac:dyDescent="0.3">
      <c r="A260">
        <v>259</v>
      </c>
      <c r="B260" t="s">
        <v>18</v>
      </c>
      <c r="C260">
        <v>2025</v>
      </c>
      <c r="D260" t="s">
        <v>23</v>
      </c>
      <c r="E260" t="s">
        <v>42</v>
      </c>
      <c r="F260">
        <v>67</v>
      </c>
      <c r="G260">
        <v>4.7</v>
      </c>
      <c r="H260">
        <v>426309</v>
      </c>
      <c r="I260">
        <v>117</v>
      </c>
      <c r="J260">
        <v>4.3</v>
      </c>
    </row>
    <row r="261" spans="1:10" x14ac:dyDescent="0.3">
      <c r="A261">
        <v>260</v>
      </c>
      <c r="B261" t="s">
        <v>19</v>
      </c>
      <c r="C261">
        <v>2025</v>
      </c>
      <c r="D261" t="s">
        <v>23</v>
      </c>
      <c r="E261" t="s">
        <v>42</v>
      </c>
      <c r="F261">
        <v>67</v>
      </c>
      <c r="G261">
        <v>9.6</v>
      </c>
      <c r="H261">
        <v>409232</v>
      </c>
      <c r="I261">
        <v>151</v>
      </c>
      <c r="J261">
        <v>4.8</v>
      </c>
    </row>
    <row r="262" spans="1:10" x14ac:dyDescent="0.3">
      <c r="A262">
        <v>261</v>
      </c>
      <c r="B262" t="s">
        <v>10</v>
      </c>
      <c r="C262">
        <v>2025</v>
      </c>
      <c r="D262" t="s">
        <v>24</v>
      </c>
      <c r="E262" t="s">
        <v>42</v>
      </c>
      <c r="F262">
        <v>77</v>
      </c>
      <c r="G262">
        <v>7.9</v>
      </c>
      <c r="H262">
        <v>889257</v>
      </c>
      <c r="I262">
        <v>237</v>
      </c>
      <c r="J262">
        <v>4.4000000000000004</v>
      </c>
    </row>
    <row r="263" spans="1:10" x14ac:dyDescent="0.3">
      <c r="A263">
        <v>262</v>
      </c>
      <c r="B263" t="s">
        <v>11</v>
      </c>
      <c r="C263">
        <v>2025</v>
      </c>
      <c r="D263" t="s">
        <v>24</v>
      </c>
      <c r="E263" t="s">
        <v>42</v>
      </c>
      <c r="F263">
        <v>77</v>
      </c>
      <c r="G263">
        <v>4.3</v>
      </c>
      <c r="H263">
        <v>388840</v>
      </c>
      <c r="I263">
        <v>112</v>
      </c>
      <c r="J263">
        <v>4.5999999999999996</v>
      </c>
    </row>
    <row r="264" spans="1:10" x14ac:dyDescent="0.3">
      <c r="A264">
        <v>263</v>
      </c>
      <c r="B264" t="s">
        <v>12</v>
      </c>
      <c r="C264">
        <v>2025</v>
      </c>
      <c r="D264" t="s">
        <v>24</v>
      </c>
      <c r="E264" t="s">
        <v>42</v>
      </c>
      <c r="F264">
        <v>77</v>
      </c>
      <c r="G264">
        <v>5.4</v>
      </c>
      <c r="H264">
        <v>592209</v>
      </c>
      <c r="I264">
        <v>67</v>
      </c>
      <c r="J264">
        <v>4.4000000000000004</v>
      </c>
    </row>
    <row r="265" spans="1:10" x14ac:dyDescent="0.3">
      <c r="A265">
        <v>264</v>
      </c>
      <c r="B265" t="s">
        <v>13</v>
      </c>
      <c r="C265">
        <v>2025</v>
      </c>
      <c r="D265" t="s">
        <v>24</v>
      </c>
      <c r="E265" t="s">
        <v>42</v>
      </c>
      <c r="F265">
        <v>77</v>
      </c>
      <c r="G265">
        <v>3.8</v>
      </c>
      <c r="H265">
        <v>549291</v>
      </c>
      <c r="I265">
        <v>90</v>
      </c>
      <c r="J265">
        <v>4.5</v>
      </c>
    </row>
    <row r="266" spans="1:10" x14ac:dyDescent="0.3">
      <c r="A266">
        <v>265</v>
      </c>
      <c r="B266" t="s">
        <v>14</v>
      </c>
      <c r="C266">
        <v>2025</v>
      </c>
      <c r="D266" t="s">
        <v>24</v>
      </c>
      <c r="E266" t="s">
        <v>42</v>
      </c>
      <c r="F266">
        <v>77</v>
      </c>
      <c r="G266">
        <v>8.1999999999999993</v>
      </c>
      <c r="H266">
        <v>711552</v>
      </c>
      <c r="I266">
        <v>67</v>
      </c>
      <c r="J266">
        <v>4.2</v>
      </c>
    </row>
    <row r="267" spans="1:10" x14ac:dyDescent="0.3">
      <c r="A267">
        <v>266</v>
      </c>
      <c r="B267" t="s">
        <v>15</v>
      </c>
      <c r="C267">
        <v>2025</v>
      </c>
      <c r="D267" t="s">
        <v>24</v>
      </c>
      <c r="E267" t="s">
        <v>42</v>
      </c>
      <c r="F267">
        <v>77</v>
      </c>
      <c r="G267">
        <v>4</v>
      </c>
      <c r="H267">
        <v>897754</v>
      </c>
      <c r="I267">
        <v>153</v>
      </c>
      <c r="J267">
        <v>4.8</v>
      </c>
    </row>
    <row r="268" spans="1:10" x14ac:dyDescent="0.3">
      <c r="A268">
        <v>267</v>
      </c>
      <c r="B268" t="s">
        <v>16</v>
      </c>
      <c r="C268">
        <v>2025</v>
      </c>
      <c r="D268" t="s">
        <v>24</v>
      </c>
      <c r="E268" t="s">
        <v>42</v>
      </c>
      <c r="F268">
        <v>77</v>
      </c>
      <c r="G268">
        <v>6.1</v>
      </c>
      <c r="H268">
        <v>549188</v>
      </c>
      <c r="I268">
        <v>103</v>
      </c>
      <c r="J268">
        <v>4.9000000000000004</v>
      </c>
    </row>
    <row r="269" spans="1:10" x14ac:dyDescent="0.3">
      <c r="A269">
        <v>268</v>
      </c>
      <c r="B269" t="s">
        <v>17</v>
      </c>
      <c r="C269">
        <v>2025</v>
      </c>
      <c r="D269" t="s">
        <v>24</v>
      </c>
      <c r="E269" t="s">
        <v>42</v>
      </c>
      <c r="F269">
        <v>77</v>
      </c>
      <c r="G269">
        <v>9.8000000000000007</v>
      </c>
      <c r="H269">
        <v>591460</v>
      </c>
      <c r="I269">
        <v>225</v>
      </c>
      <c r="J269">
        <v>4.2</v>
      </c>
    </row>
    <row r="270" spans="1:10" x14ac:dyDescent="0.3">
      <c r="A270">
        <v>269</v>
      </c>
      <c r="B270" t="s">
        <v>18</v>
      </c>
      <c r="C270">
        <v>2025</v>
      </c>
      <c r="D270" t="s">
        <v>24</v>
      </c>
      <c r="E270" t="s">
        <v>42</v>
      </c>
      <c r="F270">
        <v>77</v>
      </c>
      <c r="G270">
        <v>7</v>
      </c>
      <c r="H270">
        <v>621379</v>
      </c>
      <c r="I270">
        <v>175</v>
      </c>
      <c r="J270">
        <v>4.4000000000000004</v>
      </c>
    </row>
    <row r="271" spans="1:10" x14ac:dyDescent="0.3">
      <c r="A271">
        <v>270</v>
      </c>
      <c r="B271" t="s">
        <v>19</v>
      </c>
      <c r="C271">
        <v>2025</v>
      </c>
      <c r="D271" t="s">
        <v>24</v>
      </c>
      <c r="E271" t="s">
        <v>42</v>
      </c>
      <c r="F271">
        <v>77</v>
      </c>
      <c r="G271">
        <v>7.4</v>
      </c>
      <c r="H271">
        <v>789974</v>
      </c>
      <c r="I271">
        <v>219</v>
      </c>
      <c r="J271">
        <v>4.5</v>
      </c>
    </row>
    <row r="272" spans="1:10" x14ac:dyDescent="0.3">
      <c r="A272">
        <v>271</v>
      </c>
      <c r="B272" t="s">
        <v>10</v>
      </c>
      <c r="C272">
        <v>2025</v>
      </c>
      <c r="D272" t="s">
        <v>25</v>
      </c>
      <c r="E272" t="s">
        <v>43</v>
      </c>
      <c r="F272">
        <v>24</v>
      </c>
      <c r="G272">
        <v>9.1</v>
      </c>
      <c r="H272">
        <v>793349</v>
      </c>
      <c r="I272">
        <v>102</v>
      </c>
      <c r="J272">
        <v>4.5999999999999996</v>
      </c>
    </row>
    <row r="273" spans="1:10" x14ac:dyDescent="0.3">
      <c r="A273">
        <v>272</v>
      </c>
      <c r="B273" t="s">
        <v>11</v>
      </c>
      <c r="C273">
        <v>2025</v>
      </c>
      <c r="D273" t="s">
        <v>25</v>
      </c>
      <c r="E273" t="s">
        <v>43</v>
      </c>
      <c r="F273">
        <v>24</v>
      </c>
      <c r="G273">
        <v>2.6</v>
      </c>
      <c r="H273">
        <v>504803</v>
      </c>
      <c r="I273">
        <v>239</v>
      </c>
      <c r="J273">
        <v>4.9000000000000004</v>
      </c>
    </row>
    <row r="274" spans="1:10" x14ac:dyDescent="0.3">
      <c r="A274">
        <v>273</v>
      </c>
      <c r="B274" t="s">
        <v>12</v>
      </c>
      <c r="C274">
        <v>2025</v>
      </c>
      <c r="D274" t="s">
        <v>25</v>
      </c>
      <c r="E274" t="s">
        <v>43</v>
      </c>
      <c r="F274">
        <v>24</v>
      </c>
      <c r="G274">
        <v>3.3</v>
      </c>
      <c r="H274">
        <v>475967</v>
      </c>
      <c r="I274">
        <v>212</v>
      </c>
      <c r="J274">
        <v>4.5</v>
      </c>
    </row>
    <row r="275" spans="1:10" x14ac:dyDescent="0.3">
      <c r="A275">
        <v>274</v>
      </c>
      <c r="B275" t="s">
        <v>13</v>
      </c>
      <c r="C275">
        <v>2025</v>
      </c>
      <c r="D275" t="s">
        <v>25</v>
      </c>
      <c r="E275" t="s">
        <v>43</v>
      </c>
      <c r="F275">
        <v>24</v>
      </c>
      <c r="G275">
        <v>9.8000000000000007</v>
      </c>
      <c r="H275">
        <v>376758</v>
      </c>
      <c r="I275">
        <v>155</v>
      </c>
      <c r="J275">
        <v>4.5999999999999996</v>
      </c>
    </row>
    <row r="276" spans="1:10" x14ac:dyDescent="0.3">
      <c r="A276">
        <v>275</v>
      </c>
      <c r="B276" t="s">
        <v>14</v>
      </c>
      <c r="C276">
        <v>2025</v>
      </c>
      <c r="D276" t="s">
        <v>25</v>
      </c>
      <c r="E276" t="s">
        <v>43</v>
      </c>
      <c r="F276">
        <v>24</v>
      </c>
      <c r="G276">
        <v>9.6</v>
      </c>
      <c r="H276">
        <v>616243</v>
      </c>
      <c r="I276">
        <v>213</v>
      </c>
      <c r="J276">
        <v>4.2</v>
      </c>
    </row>
    <row r="277" spans="1:10" x14ac:dyDescent="0.3">
      <c r="A277">
        <v>276</v>
      </c>
      <c r="B277" t="s">
        <v>15</v>
      </c>
      <c r="C277">
        <v>2025</v>
      </c>
      <c r="D277" t="s">
        <v>25</v>
      </c>
      <c r="E277" t="s">
        <v>43</v>
      </c>
      <c r="F277">
        <v>24</v>
      </c>
      <c r="G277">
        <v>2.7</v>
      </c>
      <c r="H277">
        <v>634739</v>
      </c>
      <c r="I277">
        <v>137</v>
      </c>
      <c r="J277">
        <v>4.5</v>
      </c>
    </row>
    <row r="278" spans="1:10" x14ac:dyDescent="0.3">
      <c r="A278">
        <v>277</v>
      </c>
      <c r="B278" t="s">
        <v>16</v>
      </c>
      <c r="C278">
        <v>2025</v>
      </c>
      <c r="D278" t="s">
        <v>25</v>
      </c>
      <c r="E278" t="s">
        <v>43</v>
      </c>
      <c r="F278">
        <v>24</v>
      </c>
      <c r="G278">
        <v>8.5</v>
      </c>
      <c r="H278">
        <v>727574</v>
      </c>
      <c r="I278">
        <v>127</v>
      </c>
      <c r="J278">
        <v>4.7</v>
      </c>
    </row>
    <row r="279" spans="1:10" x14ac:dyDescent="0.3">
      <c r="A279">
        <v>278</v>
      </c>
      <c r="B279" t="s">
        <v>17</v>
      </c>
      <c r="C279">
        <v>2025</v>
      </c>
      <c r="D279" t="s">
        <v>25</v>
      </c>
      <c r="E279" t="s">
        <v>43</v>
      </c>
      <c r="F279">
        <v>24</v>
      </c>
      <c r="G279">
        <v>9.9</v>
      </c>
      <c r="H279">
        <v>225446</v>
      </c>
      <c r="I279">
        <v>146</v>
      </c>
      <c r="J279">
        <v>4.9000000000000004</v>
      </c>
    </row>
    <row r="280" spans="1:10" x14ac:dyDescent="0.3">
      <c r="A280">
        <v>279</v>
      </c>
      <c r="B280" t="s">
        <v>18</v>
      </c>
      <c r="C280">
        <v>2025</v>
      </c>
      <c r="D280" t="s">
        <v>25</v>
      </c>
      <c r="E280" t="s">
        <v>43</v>
      </c>
      <c r="F280">
        <v>24</v>
      </c>
      <c r="G280">
        <v>4.3</v>
      </c>
      <c r="H280">
        <v>135813</v>
      </c>
      <c r="I280">
        <v>135</v>
      </c>
      <c r="J280">
        <v>4.8</v>
      </c>
    </row>
    <row r="281" spans="1:10" x14ac:dyDescent="0.3">
      <c r="A281">
        <v>280</v>
      </c>
      <c r="B281" t="s">
        <v>19</v>
      </c>
      <c r="C281">
        <v>2025</v>
      </c>
      <c r="D281" t="s">
        <v>25</v>
      </c>
      <c r="E281" t="s">
        <v>43</v>
      </c>
      <c r="F281">
        <v>24</v>
      </c>
      <c r="G281">
        <v>2.6</v>
      </c>
      <c r="H281">
        <v>624308</v>
      </c>
      <c r="I281">
        <v>35</v>
      </c>
      <c r="J281">
        <v>4.5</v>
      </c>
    </row>
    <row r="282" spans="1:10" x14ac:dyDescent="0.3">
      <c r="A282">
        <v>281</v>
      </c>
      <c r="B282" t="s">
        <v>10</v>
      </c>
      <c r="C282">
        <v>2025</v>
      </c>
      <c r="D282" t="s">
        <v>26</v>
      </c>
      <c r="E282" t="s">
        <v>44</v>
      </c>
      <c r="F282">
        <v>172</v>
      </c>
      <c r="G282">
        <v>5.5</v>
      </c>
      <c r="H282">
        <v>212074</v>
      </c>
      <c r="I282">
        <v>66</v>
      </c>
      <c r="J282">
        <v>4.8</v>
      </c>
    </row>
    <row r="283" spans="1:10" x14ac:dyDescent="0.3">
      <c r="A283">
        <v>282</v>
      </c>
      <c r="B283" t="s">
        <v>11</v>
      </c>
      <c r="C283">
        <v>2025</v>
      </c>
      <c r="D283" t="s">
        <v>26</v>
      </c>
      <c r="E283" t="s">
        <v>44</v>
      </c>
      <c r="F283">
        <v>172</v>
      </c>
      <c r="G283">
        <v>5.6</v>
      </c>
      <c r="H283">
        <v>425731</v>
      </c>
      <c r="I283">
        <v>228</v>
      </c>
      <c r="J283">
        <v>4.2</v>
      </c>
    </row>
    <row r="284" spans="1:10" x14ac:dyDescent="0.3">
      <c r="A284">
        <v>283</v>
      </c>
      <c r="B284" t="s">
        <v>12</v>
      </c>
      <c r="C284">
        <v>2025</v>
      </c>
      <c r="D284" t="s">
        <v>26</v>
      </c>
      <c r="E284" t="s">
        <v>44</v>
      </c>
      <c r="F284">
        <v>172</v>
      </c>
      <c r="G284">
        <v>5.0999999999999996</v>
      </c>
      <c r="H284">
        <v>612490</v>
      </c>
      <c r="I284">
        <v>209</v>
      </c>
      <c r="J284">
        <v>4.8</v>
      </c>
    </row>
    <row r="285" spans="1:10" x14ac:dyDescent="0.3">
      <c r="A285">
        <v>284</v>
      </c>
      <c r="B285" t="s">
        <v>13</v>
      </c>
      <c r="C285">
        <v>2025</v>
      </c>
      <c r="D285" t="s">
        <v>26</v>
      </c>
      <c r="E285" t="s">
        <v>44</v>
      </c>
      <c r="F285">
        <v>172</v>
      </c>
      <c r="G285">
        <v>5.3</v>
      </c>
      <c r="H285">
        <v>498353</v>
      </c>
      <c r="I285">
        <v>132</v>
      </c>
      <c r="J285">
        <v>4.5999999999999996</v>
      </c>
    </row>
    <row r="286" spans="1:10" x14ac:dyDescent="0.3">
      <c r="A286">
        <v>285</v>
      </c>
      <c r="B286" t="s">
        <v>14</v>
      </c>
      <c r="C286">
        <v>2025</v>
      </c>
      <c r="D286" t="s">
        <v>26</v>
      </c>
      <c r="E286" t="s">
        <v>44</v>
      </c>
      <c r="F286">
        <v>172</v>
      </c>
      <c r="G286">
        <v>9.1999999999999993</v>
      </c>
      <c r="H286">
        <v>534972</v>
      </c>
      <c r="I286">
        <v>141</v>
      </c>
      <c r="J286">
        <v>4.4000000000000004</v>
      </c>
    </row>
    <row r="287" spans="1:10" x14ac:dyDescent="0.3">
      <c r="A287">
        <v>286</v>
      </c>
      <c r="B287" t="s">
        <v>15</v>
      </c>
      <c r="C287">
        <v>2025</v>
      </c>
      <c r="D287" t="s">
        <v>26</v>
      </c>
      <c r="E287" t="s">
        <v>44</v>
      </c>
      <c r="F287">
        <v>172</v>
      </c>
      <c r="G287">
        <v>4.7</v>
      </c>
      <c r="H287">
        <v>726629</v>
      </c>
      <c r="I287">
        <v>115</v>
      </c>
      <c r="J287">
        <v>4.7</v>
      </c>
    </row>
    <row r="288" spans="1:10" x14ac:dyDescent="0.3">
      <c r="A288">
        <v>287</v>
      </c>
      <c r="B288" t="s">
        <v>16</v>
      </c>
      <c r="C288">
        <v>2025</v>
      </c>
      <c r="D288" t="s">
        <v>26</v>
      </c>
      <c r="E288" t="s">
        <v>44</v>
      </c>
      <c r="F288">
        <v>172</v>
      </c>
      <c r="G288">
        <v>8</v>
      </c>
      <c r="H288">
        <v>471284</v>
      </c>
      <c r="I288">
        <v>130</v>
      </c>
      <c r="J288">
        <v>4.8</v>
      </c>
    </row>
    <row r="289" spans="1:10" x14ac:dyDescent="0.3">
      <c r="A289">
        <v>288</v>
      </c>
      <c r="B289" t="s">
        <v>17</v>
      </c>
      <c r="C289">
        <v>2025</v>
      </c>
      <c r="D289" t="s">
        <v>26</v>
      </c>
      <c r="E289" t="s">
        <v>44</v>
      </c>
      <c r="F289">
        <v>172</v>
      </c>
      <c r="G289">
        <v>6.6</v>
      </c>
      <c r="H289">
        <v>120311</v>
      </c>
      <c r="I289">
        <v>152</v>
      </c>
      <c r="J289">
        <v>4.7</v>
      </c>
    </row>
    <row r="290" spans="1:10" x14ac:dyDescent="0.3">
      <c r="A290">
        <v>289</v>
      </c>
      <c r="B290" t="s">
        <v>18</v>
      </c>
      <c r="C290">
        <v>2025</v>
      </c>
      <c r="D290" t="s">
        <v>26</v>
      </c>
      <c r="E290" t="s">
        <v>44</v>
      </c>
      <c r="F290">
        <v>172</v>
      </c>
      <c r="G290">
        <v>9.5</v>
      </c>
      <c r="H290">
        <v>455347</v>
      </c>
      <c r="I290">
        <v>20</v>
      </c>
      <c r="J290">
        <v>4.7</v>
      </c>
    </row>
    <row r="291" spans="1:10" x14ac:dyDescent="0.3">
      <c r="A291">
        <v>290</v>
      </c>
      <c r="B291" t="s">
        <v>19</v>
      </c>
      <c r="C291">
        <v>2025</v>
      </c>
      <c r="D291" t="s">
        <v>26</v>
      </c>
      <c r="E291" t="s">
        <v>44</v>
      </c>
      <c r="F291">
        <v>172</v>
      </c>
      <c r="G291">
        <v>3.9</v>
      </c>
      <c r="H291">
        <v>343654</v>
      </c>
      <c r="I291">
        <v>141</v>
      </c>
      <c r="J291">
        <v>4.5999999999999996</v>
      </c>
    </row>
    <row r="292" spans="1:10" x14ac:dyDescent="0.3">
      <c r="A292">
        <v>291</v>
      </c>
      <c r="B292" t="s">
        <v>10</v>
      </c>
      <c r="C292">
        <v>2025</v>
      </c>
      <c r="D292" t="s">
        <v>27</v>
      </c>
      <c r="E292" t="s">
        <v>44</v>
      </c>
      <c r="F292">
        <v>174</v>
      </c>
      <c r="G292">
        <v>8.1</v>
      </c>
      <c r="H292">
        <v>874314</v>
      </c>
      <c r="I292">
        <v>34</v>
      </c>
      <c r="J292">
        <v>4.8</v>
      </c>
    </row>
    <row r="293" spans="1:10" x14ac:dyDescent="0.3">
      <c r="A293">
        <v>292</v>
      </c>
      <c r="B293" t="s">
        <v>11</v>
      </c>
      <c r="C293">
        <v>2025</v>
      </c>
      <c r="D293" t="s">
        <v>27</v>
      </c>
      <c r="E293" t="s">
        <v>44</v>
      </c>
      <c r="F293">
        <v>174</v>
      </c>
      <c r="G293">
        <v>6.2</v>
      </c>
      <c r="H293">
        <v>411124</v>
      </c>
      <c r="I293">
        <v>119</v>
      </c>
      <c r="J293">
        <v>4.4000000000000004</v>
      </c>
    </row>
    <row r="294" spans="1:10" x14ac:dyDescent="0.3">
      <c r="A294">
        <v>293</v>
      </c>
      <c r="B294" t="s">
        <v>12</v>
      </c>
      <c r="C294">
        <v>2025</v>
      </c>
      <c r="D294" t="s">
        <v>27</v>
      </c>
      <c r="E294" t="s">
        <v>44</v>
      </c>
      <c r="F294">
        <v>174</v>
      </c>
      <c r="G294">
        <v>8.3000000000000007</v>
      </c>
      <c r="H294">
        <v>235358</v>
      </c>
      <c r="I294">
        <v>184</v>
      </c>
      <c r="J294">
        <v>4.8</v>
      </c>
    </row>
    <row r="295" spans="1:10" x14ac:dyDescent="0.3">
      <c r="A295">
        <v>294</v>
      </c>
      <c r="B295" t="s">
        <v>13</v>
      </c>
      <c r="C295">
        <v>2025</v>
      </c>
      <c r="D295" t="s">
        <v>27</v>
      </c>
      <c r="E295" t="s">
        <v>44</v>
      </c>
      <c r="F295">
        <v>174</v>
      </c>
      <c r="G295">
        <v>4.2</v>
      </c>
      <c r="H295">
        <v>237095</v>
      </c>
      <c r="I295">
        <v>176</v>
      </c>
      <c r="J295">
        <v>4.4000000000000004</v>
      </c>
    </row>
    <row r="296" spans="1:10" x14ac:dyDescent="0.3">
      <c r="A296">
        <v>295</v>
      </c>
      <c r="B296" t="s">
        <v>14</v>
      </c>
      <c r="C296">
        <v>2025</v>
      </c>
      <c r="D296" t="s">
        <v>27</v>
      </c>
      <c r="E296" t="s">
        <v>44</v>
      </c>
      <c r="F296">
        <v>174</v>
      </c>
      <c r="G296">
        <v>6.4</v>
      </c>
      <c r="H296">
        <v>573908</v>
      </c>
      <c r="I296">
        <v>187</v>
      </c>
      <c r="J296">
        <v>4.5</v>
      </c>
    </row>
    <row r="297" spans="1:10" x14ac:dyDescent="0.3">
      <c r="A297">
        <v>296</v>
      </c>
      <c r="B297" t="s">
        <v>15</v>
      </c>
      <c r="C297">
        <v>2025</v>
      </c>
      <c r="D297" t="s">
        <v>27</v>
      </c>
      <c r="E297" t="s">
        <v>44</v>
      </c>
      <c r="F297">
        <v>174</v>
      </c>
      <c r="G297">
        <v>4.7</v>
      </c>
      <c r="H297">
        <v>514941</v>
      </c>
      <c r="I297">
        <v>214</v>
      </c>
      <c r="J297">
        <v>4.5999999999999996</v>
      </c>
    </row>
    <row r="298" spans="1:10" x14ac:dyDescent="0.3">
      <c r="A298">
        <v>297</v>
      </c>
      <c r="B298" t="s">
        <v>16</v>
      </c>
      <c r="C298">
        <v>2025</v>
      </c>
      <c r="D298" t="s">
        <v>27</v>
      </c>
      <c r="E298" t="s">
        <v>44</v>
      </c>
      <c r="F298">
        <v>174</v>
      </c>
      <c r="G298">
        <v>2.4</v>
      </c>
      <c r="H298">
        <v>163135</v>
      </c>
      <c r="I298">
        <v>142</v>
      </c>
      <c r="J298">
        <v>4.5</v>
      </c>
    </row>
    <row r="299" spans="1:10" x14ac:dyDescent="0.3">
      <c r="A299">
        <v>298</v>
      </c>
      <c r="B299" t="s">
        <v>17</v>
      </c>
      <c r="C299">
        <v>2025</v>
      </c>
      <c r="D299" t="s">
        <v>27</v>
      </c>
      <c r="E299" t="s">
        <v>44</v>
      </c>
      <c r="F299">
        <v>174</v>
      </c>
      <c r="G299">
        <v>6.9</v>
      </c>
      <c r="H299">
        <v>414111</v>
      </c>
      <c r="I299">
        <v>182</v>
      </c>
      <c r="J299">
        <v>4.3</v>
      </c>
    </row>
    <row r="300" spans="1:10" x14ac:dyDescent="0.3">
      <c r="A300">
        <v>299</v>
      </c>
      <c r="B300" t="s">
        <v>18</v>
      </c>
      <c r="C300">
        <v>2025</v>
      </c>
      <c r="D300" t="s">
        <v>27</v>
      </c>
      <c r="E300" t="s">
        <v>44</v>
      </c>
      <c r="F300">
        <v>174</v>
      </c>
      <c r="G300">
        <v>3.8</v>
      </c>
      <c r="H300">
        <v>869114</v>
      </c>
      <c r="I300">
        <v>185</v>
      </c>
      <c r="J300">
        <v>4.8</v>
      </c>
    </row>
    <row r="301" spans="1:10" x14ac:dyDescent="0.3">
      <c r="A301">
        <v>300</v>
      </c>
      <c r="B301" t="s">
        <v>19</v>
      </c>
      <c r="C301">
        <v>2025</v>
      </c>
      <c r="D301" t="s">
        <v>27</v>
      </c>
      <c r="E301" t="s">
        <v>44</v>
      </c>
      <c r="F301">
        <v>174</v>
      </c>
      <c r="G301">
        <v>8.6999999999999993</v>
      </c>
      <c r="H301">
        <v>108336</v>
      </c>
      <c r="I301">
        <v>184</v>
      </c>
      <c r="J301">
        <v>4.5</v>
      </c>
    </row>
    <row r="302" spans="1:10" x14ac:dyDescent="0.3">
      <c r="A302">
        <v>301</v>
      </c>
      <c r="B302" t="s">
        <v>10</v>
      </c>
      <c r="C302">
        <v>2025</v>
      </c>
      <c r="D302" t="s">
        <v>28</v>
      </c>
      <c r="E302" t="s">
        <v>45</v>
      </c>
      <c r="F302">
        <v>84</v>
      </c>
      <c r="G302">
        <v>8.1</v>
      </c>
      <c r="H302">
        <v>416041</v>
      </c>
      <c r="I302">
        <v>195</v>
      </c>
      <c r="J302">
        <v>4.9000000000000004</v>
      </c>
    </row>
    <row r="303" spans="1:10" x14ac:dyDescent="0.3">
      <c r="A303">
        <v>302</v>
      </c>
      <c r="B303" t="s">
        <v>11</v>
      </c>
      <c r="C303">
        <v>2025</v>
      </c>
      <c r="D303" t="s">
        <v>28</v>
      </c>
      <c r="E303" t="s">
        <v>45</v>
      </c>
      <c r="F303">
        <v>84</v>
      </c>
      <c r="G303">
        <v>4.9000000000000004</v>
      </c>
      <c r="H303">
        <v>863853</v>
      </c>
      <c r="I303">
        <v>228</v>
      </c>
      <c r="J303">
        <v>4.7</v>
      </c>
    </row>
    <row r="304" spans="1:10" x14ac:dyDescent="0.3">
      <c r="A304">
        <v>303</v>
      </c>
      <c r="B304" t="s">
        <v>12</v>
      </c>
      <c r="C304">
        <v>2025</v>
      </c>
      <c r="D304" t="s">
        <v>28</v>
      </c>
      <c r="E304" t="s">
        <v>45</v>
      </c>
      <c r="F304">
        <v>84</v>
      </c>
      <c r="G304">
        <v>9.6</v>
      </c>
      <c r="H304">
        <v>305169</v>
      </c>
      <c r="I304">
        <v>220</v>
      </c>
      <c r="J304">
        <v>4.7</v>
      </c>
    </row>
    <row r="305" spans="1:10" x14ac:dyDescent="0.3">
      <c r="A305">
        <v>304</v>
      </c>
      <c r="B305" t="s">
        <v>13</v>
      </c>
      <c r="C305">
        <v>2025</v>
      </c>
      <c r="D305" t="s">
        <v>28</v>
      </c>
      <c r="E305" t="s">
        <v>45</v>
      </c>
      <c r="F305">
        <v>84</v>
      </c>
      <c r="G305">
        <v>9.6</v>
      </c>
      <c r="H305">
        <v>181578</v>
      </c>
      <c r="I305">
        <v>233</v>
      </c>
      <c r="J305">
        <v>4.3</v>
      </c>
    </row>
    <row r="306" spans="1:10" x14ac:dyDescent="0.3">
      <c r="A306">
        <v>305</v>
      </c>
      <c r="B306" t="s">
        <v>14</v>
      </c>
      <c r="C306">
        <v>2025</v>
      </c>
      <c r="D306" t="s">
        <v>28</v>
      </c>
      <c r="E306" t="s">
        <v>45</v>
      </c>
      <c r="F306">
        <v>84</v>
      </c>
      <c r="G306">
        <v>5.2</v>
      </c>
      <c r="H306">
        <v>428787</v>
      </c>
      <c r="I306">
        <v>196</v>
      </c>
      <c r="J306">
        <v>4.8</v>
      </c>
    </row>
    <row r="307" spans="1:10" x14ac:dyDescent="0.3">
      <c r="A307">
        <v>306</v>
      </c>
      <c r="B307" t="s">
        <v>15</v>
      </c>
      <c r="C307">
        <v>2025</v>
      </c>
      <c r="D307" t="s">
        <v>28</v>
      </c>
      <c r="E307" t="s">
        <v>45</v>
      </c>
      <c r="F307">
        <v>84</v>
      </c>
      <c r="G307">
        <v>5.3</v>
      </c>
      <c r="H307">
        <v>675797</v>
      </c>
      <c r="I307">
        <v>56</v>
      </c>
      <c r="J307">
        <v>4.5</v>
      </c>
    </row>
    <row r="308" spans="1:10" x14ac:dyDescent="0.3">
      <c r="A308">
        <v>307</v>
      </c>
      <c r="B308" t="s">
        <v>16</v>
      </c>
      <c r="C308">
        <v>2025</v>
      </c>
      <c r="D308" t="s">
        <v>28</v>
      </c>
      <c r="E308" t="s">
        <v>45</v>
      </c>
      <c r="F308">
        <v>84</v>
      </c>
      <c r="G308">
        <v>6</v>
      </c>
      <c r="H308">
        <v>405412</v>
      </c>
      <c r="I308">
        <v>89</v>
      </c>
      <c r="J308">
        <v>4.4000000000000004</v>
      </c>
    </row>
    <row r="309" spans="1:10" x14ac:dyDescent="0.3">
      <c r="A309">
        <v>308</v>
      </c>
      <c r="B309" t="s">
        <v>17</v>
      </c>
      <c r="C309">
        <v>2025</v>
      </c>
      <c r="D309" t="s">
        <v>28</v>
      </c>
      <c r="E309" t="s">
        <v>45</v>
      </c>
      <c r="F309">
        <v>84</v>
      </c>
      <c r="G309">
        <v>7.4</v>
      </c>
      <c r="H309">
        <v>661372</v>
      </c>
      <c r="I309">
        <v>77</v>
      </c>
      <c r="J309">
        <v>4.5999999999999996</v>
      </c>
    </row>
    <row r="310" spans="1:10" x14ac:dyDescent="0.3">
      <c r="A310">
        <v>309</v>
      </c>
      <c r="B310" t="s">
        <v>18</v>
      </c>
      <c r="C310">
        <v>2025</v>
      </c>
      <c r="D310" t="s">
        <v>28</v>
      </c>
      <c r="E310" t="s">
        <v>45</v>
      </c>
      <c r="F310">
        <v>84</v>
      </c>
      <c r="G310">
        <v>9.4</v>
      </c>
      <c r="H310">
        <v>217337</v>
      </c>
      <c r="I310">
        <v>46</v>
      </c>
      <c r="J310">
        <v>4.5</v>
      </c>
    </row>
    <row r="311" spans="1:10" x14ac:dyDescent="0.3">
      <c r="A311">
        <v>310</v>
      </c>
      <c r="B311" t="s">
        <v>19</v>
      </c>
      <c r="C311">
        <v>2025</v>
      </c>
      <c r="D311" t="s">
        <v>28</v>
      </c>
      <c r="E311" t="s">
        <v>45</v>
      </c>
      <c r="F311">
        <v>84</v>
      </c>
      <c r="G311">
        <v>5.7</v>
      </c>
      <c r="H311">
        <v>556715</v>
      </c>
      <c r="I311">
        <v>29</v>
      </c>
      <c r="J311">
        <v>4.4000000000000004</v>
      </c>
    </row>
    <row r="312" spans="1:10" x14ac:dyDescent="0.3">
      <c r="A312">
        <v>311</v>
      </c>
      <c r="B312" t="s">
        <v>10</v>
      </c>
      <c r="C312">
        <v>2025</v>
      </c>
      <c r="D312" t="s">
        <v>29</v>
      </c>
      <c r="E312" t="s">
        <v>46</v>
      </c>
      <c r="F312">
        <v>68</v>
      </c>
      <c r="G312">
        <v>9.6999999999999993</v>
      </c>
      <c r="H312">
        <v>445457</v>
      </c>
      <c r="I312">
        <v>66</v>
      </c>
      <c r="J312">
        <v>4.9000000000000004</v>
      </c>
    </row>
    <row r="313" spans="1:10" x14ac:dyDescent="0.3">
      <c r="A313">
        <v>312</v>
      </c>
      <c r="B313" t="s">
        <v>11</v>
      </c>
      <c r="C313">
        <v>2025</v>
      </c>
      <c r="D313" t="s">
        <v>29</v>
      </c>
      <c r="E313" t="s">
        <v>46</v>
      </c>
      <c r="F313">
        <v>68</v>
      </c>
      <c r="G313">
        <v>9.1</v>
      </c>
      <c r="H313">
        <v>602110</v>
      </c>
      <c r="I313">
        <v>116</v>
      </c>
      <c r="J313">
        <v>4.5999999999999996</v>
      </c>
    </row>
    <row r="314" spans="1:10" x14ac:dyDescent="0.3">
      <c r="A314">
        <v>313</v>
      </c>
      <c r="B314" t="s">
        <v>12</v>
      </c>
      <c r="C314">
        <v>2025</v>
      </c>
      <c r="D314" t="s">
        <v>29</v>
      </c>
      <c r="E314" t="s">
        <v>46</v>
      </c>
      <c r="F314">
        <v>68</v>
      </c>
      <c r="G314">
        <v>4.7</v>
      </c>
      <c r="H314">
        <v>181497</v>
      </c>
      <c r="I314">
        <v>115</v>
      </c>
      <c r="J314">
        <v>4.3</v>
      </c>
    </row>
    <row r="315" spans="1:10" x14ac:dyDescent="0.3">
      <c r="A315">
        <v>314</v>
      </c>
      <c r="B315" t="s">
        <v>13</v>
      </c>
      <c r="C315">
        <v>2025</v>
      </c>
      <c r="D315" t="s">
        <v>29</v>
      </c>
      <c r="E315" t="s">
        <v>46</v>
      </c>
      <c r="F315">
        <v>68</v>
      </c>
      <c r="G315">
        <v>8.9</v>
      </c>
      <c r="H315">
        <v>440810</v>
      </c>
      <c r="I315">
        <v>242</v>
      </c>
      <c r="J315">
        <v>4.7</v>
      </c>
    </row>
    <row r="316" spans="1:10" x14ac:dyDescent="0.3">
      <c r="A316">
        <v>315</v>
      </c>
      <c r="B316" t="s">
        <v>14</v>
      </c>
      <c r="C316">
        <v>2025</v>
      </c>
      <c r="D316" t="s">
        <v>29</v>
      </c>
      <c r="E316" t="s">
        <v>46</v>
      </c>
      <c r="F316">
        <v>68</v>
      </c>
      <c r="G316">
        <v>5</v>
      </c>
      <c r="H316">
        <v>639674</v>
      </c>
      <c r="I316">
        <v>235</v>
      </c>
      <c r="J316">
        <v>4.3</v>
      </c>
    </row>
    <row r="317" spans="1:10" x14ac:dyDescent="0.3">
      <c r="A317">
        <v>316</v>
      </c>
      <c r="B317" t="s">
        <v>15</v>
      </c>
      <c r="C317">
        <v>2025</v>
      </c>
      <c r="D317" t="s">
        <v>29</v>
      </c>
      <c r="E317" t="s">
        <v>46</v>
      </c>
      <c r="F317">
        <v>68</v>
      </c>
      <c r="G317">
        <v>7.1</v>
      </c>
      <c r="H317">
        <v>828483</v>
      </c>
      <c r="I317">
        <v>228</v>
      </c>
      <c r="J317">
        <v>4.8</v>
      </c>
    </row>
    <row r="318" spans="1:10" x14ac:dyDescent="0.3">
      <c r="A318">
        <v>317</v>
      </c>
      <c r="B318" t="s">
        <v>16</v>
      </c>
      <c r="C318">
        <v>2025</v>
      </c>
      <c r="D318" t="s">
        <v>29</v>
      </c>
      <c r="E318" t="s">
        <v>46</v>
      </c>
      <c r="F318">
        <v>68</v>
      </c>
      <c r="G318">
        <v>4.3</v>
      </c>
      <c r="H318">
        <v>492246</v>
      </c>
      <c r="I318">
        <v>58</v>
      </c>
      <c r="J318">
        <v>4.7</v>
      </c>
    </row>
    <row r="319" spans="1:10" x14ac:dyDescent="0.3">
      <c r="A319">
        <v>318</v>
      </c>
      <c r="B319" t="s">
        <v>17</v>
      </c>
      <c r="C319">
        <v>2025</v>
      </c>
      <c r="D319" t="s">
        <v>29</v>
      </c>
      <c r="E319" t="s">
        <v>46</v>
      </c>
      <c r="F319">
        <v>68</v>
      </c>
      <c r="G319">
        <v>2.4</v>
      </c>
      <c r="H319">
        <v>389879</v>
      </c>
      <c r="I319">
        <v>232</v>
      </c>
      <c r="J319">
        <v>4.5999999999999996</v>
      </c>
    </row>
    <row r="320" spans="1:10" x14ac:dyDescent="0.3">
      <c r="A320">
        <v>319</v>
      </c>
      <c r="B320" t="s">
        <v>18</v>
      </c>
      <c r="C320">
        <v>2025</v>
      </c>
      <c r="D320" t="s">
        <v>29</v>
      </c>
      <c r="E320" t="s">
        <v>46</v>
      </c>
      <c r="F320">
        <v>68</v>
      </c>
      <c r="G320">
        <v>3.6</v>
      </c>
      <c r="H320">
        <v>246915</v>
      </c>
      <c r="I320">
        <v>111</v>
      </c>
      <c r="J320">
        <v>4.8</v>
      </c>
    </row>
    <row r="321" spans="1:10" x14ac:dyDescent="0.3">
      <c r="A321">
        <v>320</v>
      </c>
      <c r="B321" t="s">
        <v>19</v>
      </c>
      <c r="C321">
        <v>2025</v>
      </c>
      <c r="D321" t="s">
        <v>29</v>
      </c>
      <c r="E321" t="s">
        <v>46</v>
      </c>
      <c r="F321">
        <v>68</v>
      </c>
      <c r="G321">
        <v>4.8</v>
      </c>
      <c r="H321">
        <v>499420</v>
      </c>
      <c r="I321">
        <v>118</v>
      </c>
      <c r="J321">
        <v>4.8</v>
      </c>
    </row>
    <row r="322" spans="1:10" x14ac:dyDescent="0.3">
      <c r="A322">
        <v>321</v>
      </c>
      <c r="B322" t="s">
        <v>10</v>
      </c>
      <c r="C322">
        <v>2025</v>
      </c>
      <c r="D322" t="s">
        <v>30</v>
      </c>
      <c r="E322" t="s">
        <v>47</v>
      </c>
      <c r="F322">
        <v>138</v>
      </c>
      <c r="G322">
        <v>4.3</v>
      </c>
      <c r="H322">
        <v>767798</v>
      </c>
      <c r="I322">
        <v>74</v>
      </c>
      <c r="J322">
        <v>4.8</v>
      </c>
    </row>
    <row r="323" spans="1:10" x14ac:dyDescent="0.3">
      <c r="A323">
        <v>322</v>
      </c>
      <c r="B323" t="s">
        <v>11</v>
      </c>
      <c r="C323">
        <v>2025</v>
      </c>
      <c r="D323" t="s">
        <v>30</v>
      </c>
      <c r="E323" t="s">
        <v>47</v>
      </c>
      <c r="F323">
        <v>138</v>
      </c>
      <c r="G323">
        <v>7.1</v>
      </c>
      <c r="H323">
        <v>335133</v>
      </c>
      <c r="I323">
        <v>22</v>
      </c>
      <c r="J323">
        <v>4.3</v>
      </c>
    </row>
    <row r="324" spans="1:10" x14ac:dyDescent="0.3">
      <c r="A324">
        <v>323</v>
      </c>
      <c r="B324" t="s">
        <v>12</v>
      </c>
      <c r="C324">
        <v>2025</v>
      </c>
      <c r="D324" t="s">
        <v>30</v>
      </c>
      <c r="E324" t="s">
        <v>47</v>
      </c>
      <c r="F324">
        <v>138</v>
      </c>
      <c r="G324">
        <v>6.2</v>
      </c>
      <c r="H324">
        <v>275329</v>
      </c>
      <c r="I324">
        <v>56</v>
      </c>
      <c r="J324">
        <v>4.2</v>
      </c>
    </row>
    <row r="325" spans="1:10" x14ac:dyDescent="0.3">
      <c r="A325">
        <v>324</v>
      </c>
      <c r="B325" t="s">
        <v>13</v>
      </c>
      <c r="C325">
        <v>2025</v>
      </c>
      <c r="D325" t="s">
        <v>30</v>
      </c>
      <c r="E325" t="s">
        <v>47</v>
      </c>
      <c r="F325">
        <v>138</v>
      </c>
      <c r="G325">
        <v>9.9</v>
      </c>
      <c r="H325">
        <v>877246</v>
      </c>
      <c r="I325">
        <v>116</v>
      </c>
      <c r="J325">
        <v>4.4000000000000004</v>
      </c>
    </row>
    <row r="326" spans="1:10" x14ac:dyDescent="0.3">
      <c r="A326">
        <v>325</v>
      </c>
      <c r="B326" t="s">
        <v>14</v>
      </c>
      <c r="C326">
        <v>2025</v>
      </c>
      <c r="D326" t="s">
        <v>30</v>
      </c>
      <c r="E326" t="s">
        <v>47</v>
      </c>
      <c r="F326">
        <v>138</v>
      </c>
      <c r="G326">
        <v>7.2</v>
      </c>
      <c r="H326">
        <v>348533</v>
      </c>
      <c r="I326">
        <v>171</v>
      </c>
      <c r="J326">
        <v>4.5999999999999996</v>
      </c>
    </row>
    <row r="327" spans="1:10" x14ac:dyDescent="0.3">
      <c r="A327">
        <v>326</v>
      </c>
      <c r="B327" t="s">
        <v>15</v>
      </c>
      <c r="C327">
        <v>2025</v>
      </c>
      <c r="D327" t="s">
        <v>30</v>
      </c>
      <c r="E327" t="s">
        <v>47</v>
      </c>
      <c r="F327">
        <v>138</v>
      </c>
      <c r="G327">
        <v>6.2</v>
      </c>
      <c r="H327">
        <v>323288</v>
      </c>
      <c r="I327">
        <v>53</v>
      </c>
      <c r="J327">
        <v>4.7</v>
      </c>
    </row>
    <row r="328" spans="1:10" x14ac:dyDescent="0.3">
      <c r="A328">
        <v>327</v>
      </c>
      <c r="B328" t="s">
        <v>16</v>
      </c>
      <c r="C328">
        <v>2025</v>
      </c>
      <c r="D328" t="s">
        <v>30</v>
      </c>
      <c r="E328" t="s">
        <v>47</v>
      </c>
      <c r="F328">
        <v>138</v>
      </c>
      <c r="G328">
        <v>3.1</v>
      </c>
      <c r="H328">
        <v>331126</v>
      </c>
      <c r="I328">
        <v>46</v>
      </c>
      <c r="J328">
        <v>4.5</v>
      </c>
    </row>
    <row r="329" spans="1:10" x14ac:dyDescent="0.3">
      <c r="A329">
        <v>328</v>
      </c>
      <c r="B329" t="s">
        <v>17</v>
      </c>
      <c r="C329">
        <v>2025</v>
      </c>
      <c r="D329" t="s">
        <v>30</v>
      </c>
      <c r="E329" t="s">
        <v>47</v>
      </c>
      <c r="F329">
        <v>138</v>
      </c>
      <c r="G329">
        <v>4</v>
      </c>
      <c r="H329">
        <v>821321</v>
      </c>
      <c r="I329">
        <v>185</v>
      </c>
      <c r="J329">
        <v>4.4000000000000004</v>
      </c>
    </row>
    <row r="330" spans="1:10" x14ac:dyDescent="0.3">
      <c r="A330">
        <v>329</v>
      </c>
      <c r="B330" t="s">
        <v>18</v>
      </c>
      <c r="C330">
        <v>2025</v>
      </c>
      <c r="D330" t="s">
        <v>30</v>
      </c>
      <c r="E330" t="s">
        <v>47</v>
      </c>
      <c r="F330">
        <v>138</v>
      </c>
      <c r="G330">
        <v>2.7</v>
      </c>
      <c r="H330">
        <v>724696</v>
      </c>
      <c r="I330">
        <v>214</v>
      </c>
      <c r="J330">
        <v>4.8</v>
      </c>
    </row>
    <row r="331" spans="1:10" x14ac:dyDescent="0.3">
      <c r="A331">
        <v>330</v>
      </c>
      <c r="B331" t="s">
        <v>19</v>
      </c>
      <c r="C331">
        <v>2025</v>
      </c>
      <c r="D331" t="s">
        <v>30</v>
      </c>
      <c r="E331" t="s">
        <v>47</v>
      </c>
      <c r="F331">
        <v>138</v>
      </c>
      <c r="G331">
        <v>8.6</v>
      </c>
      <c r="H331">
        <v>872918</v>
      </c>
      <c r="I331">
        <v>215</v>
      </c>
      <c r="J331">
        <v>4.8</v>
      </c>
    </row>
    <row r="332" spans="1:10" x14ac:dyDescent="0.3">
      <c r="A332">
        <v>331</v>
      </c>
      <c r="B332" t="s">
        <v>10</v>
      </c>
      <c r="C332">
        <v>2025</v>
      </c>
      <c r="D332" t="s">
        <v>31</v>
      </c>
      <c r="E332" t="s">
        <v>47</v>
      </c>
      <c r="F332">
        <v>154</v>
      </c>
      <c r="G332">
        <v>5.6</v>
      </c>
      <c r="H332">
        <v>887396</v>
      </c>
      <c r="I332">
        <v>165</v>
      </c>
      <c r="J332">
        <v>4.5999999999999996</v>
      </c>
    </row>
    <row r="333" spans="1:10" x14ac:dyDescent="0.3">
      <c r="A333">
        <v>332</v>
      </c>
      <c r="B333" t="s">
        <v>11</v>
      </c>
      <c r="C333">
        <v>2025</v>
      </c>
      <c r="D333" t="s">
        <v>31</v>
      </c>
      <c r="E333" t="s">
        <v>47</v>
      </c>
      <c r="F333">
        <v>154</v>
      </c>
      <c r="G333">
        <v>5</v>
      </c>
      <c r="H333">
        <v>150734</v>
      </c>
      <c r="I333">
        <v>241</v>
      </c>
      <c r="J333">
        <v>4.8</v>
      </c>
    </row>
    <row r="334" spans="1:10" x14ac:dyDescent="0.3">
      <c r="A334">
        <v>333</v>
      </c>
      <c r="B334" t="s">
        <v>12</v>
      </c>
      <c r="C334">
        <v>2025</v>
      </c>
      <c r="D334" t="s">
        <v>31</v>
      </c>
      <c r="E334" t="s">
        <v>47</v>
      </c>
      <c r="F334">
        <v>154</v>
      </c>
      <c r="G334">
        <v>5.5</v>
      </c>
      <c r="H334">
        <v>138558</v>
      </c>
      <c r="I334">
        <v>86</v>
      </c>
      <c r="J334">
        <v>4.7</v>
      </c>
    </row>
    <row r="335" spans="1:10" x14ac:dyDescent="0.3">
      <c r="A335">
        <v>334</v>
      </c>
      <c r="B335" t="s">
        <v>13</v>
      </c>
      <c r="C335">
        <v>2025</v>
      </c>
      <c r="D335" t="s">
        <v>31</v>
      </c>
      <c r="E335" t="s">
        <v>47</v>
      </c>
      <c r="F335">
        <v>154</v>
      </c>
      <c r="G335">
        <v>4.5</v>
      </c>
      <c r="H335">
        <v>502758</v>
      </c>
      <c r="I335">
        <v>177</v>
      </c>
      <c r="J335">
        <v>4.3</v>
      </c>
    </row>
    <row r="336" spans="1:10" x14ac:dyDescent="0.3">
      <c r="A336">
        <v>335</v>
      </c>
      <c r="B336" t="s">
        <v>14</v>
      </c>
      <c r="C336">
        <v>2025</v>
      </c>
      <c r="D336" t="s">
        <v>31</v>
      </c>
      <c r="E336" t="s">
        <v>47</v>
      </c>
      <c r="F336">
        <v>154</v>
      </c>
      <c r="G336">
        <v>8.3000000000000007</v>
      </c>
      <c r="H336">
        <v>314163</v>
      </c>
      <c r="I336">
        <v>113</v>
      </c>
      <c r="J336">
        <v>4.8</v>
      </c>
    </row>
    <row r="337" spans="1:10" x14ac:dyDescent="0.3">
      <c r="A337">
        <v>336</v>
      </c>
      <c r="B337" t="s">
        <v>15</v>
      </c>
      <c r="C337">
        <v>2025</v>
      </c>
      <c r="D337" t="s">
        <v>31</v>
      </c>
      <c r="E337" t="s">
        <v>47</v>
      </c>
      <c r="F337">
        <v>154</v>
      </c>
      <c r="G337">
        <v>2</v>
      </c>
      <c r="H337">
        <v>509277</v>
      </c>
      <c r="I337">
        <v>128</v>
      </c>
      <c r="J337">
        <v>4.7</v>
      </c>
    </row>
    <row r="338" spans="1:10" x14ac:dyDescent="0.3">
      <c r="A338">
        <v>337</v>
      </c>
      <c r="B338" t="s">
        <v>16</v>
      </c>
      <c r="C338">
        <v>2025</v>
      </c>
      <c r="D338" t="s">
        <v>31</v>
      </c>
      <c r="E338" t="s">
        <v>47</v>
      </c>
      <c r="F338">
        <v>154</v>
      </c>
      <c r="G338">
        <v>4.2</v>
      </c>
      <c r="H338">
        <v>781275</v>
      </c>
      <c r="I338">
        <v>228</v>
      </c>
      <c r="J338">
        <v>4.5</v>
      </c>
    </row>
    <row r="339" spans="1:10" x14ac:dyDescent="0.3">
      <c r="A339">
        <v>338</v>
      </c>
      <c r="B339" t="s">
        <v>17</v>
      </c>
      <c r="C339">
        <v>2025</v>
      </c>
      <c r="D339" t="s">
        <v>31</v>
      </c>
      <c r="E339" t="s">
        <v>47</v>
      </c>
      <c r="F339">
        <v>154</v>
      </c>
      <c r="G339">
        <v>7.8</v>
      </c>
      <c r="H339">
        <v>497959</v>
      </c>
      <c r="I339">
        <v>30</v>
      </c>
      <c r="J339">
        <v>4.7</v>
      </c>
    </row>
    <row r="340" spans="1:10" x14ac:dyDescent="0.3">
      <c r="A340">
        <v>339</v>
      </c>
      <c r="B340" t="s">
        <v>18</v>
      </c>
      <c r="C340">
        <v>2025</v>
      </c>
      <c r="D340" t="s">
        <v>31</v>
      </c>
      <c r="E340" t="s">
        <v>47</v>
      </c>
      <c r="F340">
        <v>154</v>
      </c>
      <c r="G340">
        <v>3.5</v>
      </c>
      <c r="H340">
        <v>225937</v>
      </c>
      <c r="I340">
        <v>60</v>
      </c>
      <c r="J340">
        <v>4.7</v>
      </c>
    </row>
    <row r="341" spans="1:10" x14ac:dyDescent="0.3">
      <c r="A341">
        <v>340</v>
      </c>
      <c r="B341" t="s">
        <v>19</v>
      </c>
      <c r="C341">
        <v>2025</v>
      </c>
      <c r="D341" t="s">
        <v>31</v>
      </c>
      <c r="E341" t="s">
        <v>47</v>
      </c>
      <c r="F341">
        <v>154</v>
      </c>
      <c r="G341">
        <v>4.8</v>
      </c>
      <c r="H341">
        <v>366802</v>
      </c>
      <c r="I341">
        <v>105</v>
      </c>
      <c r="J341">
        <v>4.8</v>
      </c>
    </row>
    <row r="342" spans="1:10" x14ac:dyDescent="0.3">
      <c r="A342">
        <v>341</v>
      </c>
      <c r="B342" t="s">
        <v>10</v>
      </c>
      <c r="C342">
        <v>2025</v>
      </c>
      <c r="D342" t="s">
        <v>32</v>
      </c>
      <c r="E342" t="s">
        <v>48</v>
      </c>
      <c r="F342">
        <v>38</v>
      </c>
      <c r="G342">
        <v>2.8</v>
      </c>
      <c r="H342">
        <v>831852</v>
      </c>
      <c r="I342">
        <v>156</v>
      </c>
      <c r="J342">
        <v>4.4000000000000004</v>
      </c>
    </row>
    <row r="343" spans="1:10" x14ac:dyDescent="0.3">
      <c r="A343">
        <v>342</v>
      </c>
      <c r="B343" t="s">
        <v>11</v>
      </c>
      <c r="C343">
        <v>2025</v>
      </c>
      <c r="D343" t="s">
        <v>32</v>
      </c>
      <c r="E343" t="s">
        <v>48</v>
      </c>
      <c r="F343">
        <v>38</v>
      </c>
      <c r="G343">
        <v>5.7</v>
      </c>
      <c r="H343">
        <v>483220</v>
      </c>
      <c r="I343">
        <v>213</v>
      </c>
      <c r="J343">
        <v>4.4000000000000004</v>
      </c>
    </row>
    <row r="344" spans="1:10" x14ac:dyDescent="0.3">
      <c r="A344">
        <v>343</v>
      </c>
      <c r="B344" t="s">
        <v>12</v>
      </c>
      <c r="C344">
        <v>2025</v>
      </c>
      <c r="D344" t="s">
        <v>32</v>
      </c>
      <c r="E344" t="s">
        <v>48</v>
      </c>
      <c r="F344">
        <v>38</v>
      </c>
      <c r="G344">
        <v>9.1999999999999993</v>
      </c>
      <c r="H344">
        <v>155358</v>
      </c>
      <c r="I344">
        <v>37</v>
      </c>
      <c r="J344">
        <v>4.5999999999999996</v>
      </c>
    </row>
    <row r="345" spans="1:10" x14ac:dyDescent="0.3">
      <c r="A345">
        <v>344</v>
      </c>
      <c r="B345" t="s">
        <v>13</v>
      </c>
      <c r="C345">
        <v>2025</v>
      </c>
      <c r="D345" t="s">
        <v>32</v>
      </c>
      <c r="E345" t="s">
        <v>48</v>
      </c>
      <c r="F345">
        <v>38</v>
      </c>
      <c r="G345">
        <v>5.4</v>
      </c>
      <c r="H345">
        <v>368455</v>
      </c>
      <c r="I345">
        <v>144</v>
      </c>
      <c r="J345">
        <v>4.7</v>
      </c>
    </row>
    <row r="346" spans="1:10" x14ac:dyDescent="0.3">
      <c r="A346">
        <v>345</v>
      </c>
      <c r="B346" t="s">
        <v>14</v>
      </c>
      <c r="C346">
        <v>2025</v>
      </c>
      <c r="D346" t="s">
        <v>32</v>
      </c>
      <c r="E346" t="s">
        <v>48</v>
      </c>
      <c r="F346">
        <v>38</v>
      </c>
      <c r="G346">
        <v>2.7</v>
      </c>
      <c r="H346">
        <v>833677</v>
      </c>
      <c r="I346">
        <v>130</v>
      </c>
      <c r="J346">
        <v>4.4000000000000004</v>
      </c>
    </row>
    <row r="347" spans="1:10" x14ac:dyDescent="0.3">
      <c r="A347">
        <v>346</v>
      </c>
      <c r="B347" t="s">
        <v>15</v>
      </c>
      <c r="C347">
        <v>2025</v>
      </c>
      <c r="D347" t="s">
        <v>32</v>
      </c>
      <c r="E347" t="s">
        <v>48</v>
      </c>
      <c r="F347">
        <v>38</v>
      </c>
      <c r="G347">
        <v>4.3</v>
      </c>
      <c r="H347">
        <v>515946</v>
      </c>
      <c r="I347">
        <v>51</v>
      </c>
      <c r="J347">
        <v>4.3</v>
      </c>
    </row>
    <row r="348" spans="1:10" x14ac:dyDescent="0.3">
      <c r="A348">
        <v>347</v>
      </c>
      <c r="B348" t="s">
        <v>16</v>
      </c>
      <c r="C348">
        <v>2025</v>
      </c>
      <c r="D348" t="s">
        <v>32</v>
      </c>
      <c r="E348" t="s">
        <v>48</v>
      </c>
      <c r="F348">
        <v>38</v>
      </c>
      <c r="G348">
        <v>7.5</v>
      </c>
      <c r="H348">
        <v>112639</v>
      </c>
      <c r="I348">
        <v>156</v>
      </c>
      <c r="J348">
        <v>4.8</v>
      </c>
    </row>
    <row r="349" spans="1:10" x14ac:dyDescent="0.3">
      <c r="A349">
        <v>348</v>
      </c>
      <c r="B349" t="s">
        <v>17</v>
      </c>
      <c r="C349">
        <v>2025</v>
      </c>
      <c r="D349" t="s">
        <v>32</v>
      </c>
      <c r="E349" t="s">
        <v>48</v>
      </c>
      <c r="F349">
        <v>38</v>
      </c>
      <c r="G349">
        <v>7.7</v>
      </c>
      <c r="H349">
        <v>450248</v>
      </c>
      <c r="I349">
        <v>147</v>
      </c>
      <c r="J349">
        <v>4.7</v>
      </c>
    </row>
    <row r="350" spans="1:10" x14ac:dyDescent="0.3">
      <c r="A350">
        <v>349</v>
      </c>
      <c r="B350" t="s">
        <v>18</v>
      </c>
      <c r="C350">
        <v>2025</v>
      </c>
      <c r="D350" t="s">
        <v>32</v>
      </c>
      <c r="E350" t="s">
        <v>48</v>
      </c>
      <c r="F350">
        <v>38</v>
      </c>
      <c r="G350">
        <v>2.1</v>
      </c>
      <c r="H350">
        <v>673352</v>
      </c>
      <c r="I350">
        <v>176</v>
      </c>
      <c r="J350">
        <v>4.4000000000000004</v>
      </c>
    </row>
    <row r="351" spans="1:10" x14ac:dyDescent="0.3">
      <c r="A351">
        <v>350</v>
      </c>
      <c r="B351" t="s">
        <v>19</v>
      </c>
      <c r="C351">
        <v>2025</v>
      </c>
      <c r="D351" t="s">
        <v>32</v>
      </c>
      <c r="E351" t="s">
        <v>48</v>
      </c>
      <c r="F351">
        <v>38</v>
      </c>
      <c r="G351">
        <v>9</v>
      </c>
      <c r="H351">
        <v>129635</v>
      </c>
      <c r="I351">
        <v>221</v>
      </c>
      <c r="J351">
        <v>4.4000000000000004</v>
      </c>
    </row>
    <row r="352" spans="1:10" x14ac:dyDescent="0.3">
      <c r="A352">
        <v>351</v>
      </c>
      <c r="B352" t="s">
        <v>10</v>
      </c>
      <c r="C352">
        <v>2025</v>
      </c>
      <c r="D352" t="s">
        <v>33</v>
      </c>
      <c r="E352" t="s">
        <v>49</v>
      </c>
      <c r="F352">
        <v>11</v>
      </c>
      <c r="G352">
        <v>9.6</v>
      </c>
      <c r="H352">
        <v>355636</v>
      </c>
      <c r="I352">
        <v>149</v>
      </c>
      <c r="J352">
        <v>4.8</v>
      </c>
    </row>
    <row r="353" spans="1:10" x14ac:dyDescent="0.3">
      <c r="A353">
        <v>352</v>
      </c>
      <c r="B353" t="s">
        <v>11</v>
      </c>
      <c r="C353">
        <v>2025</v>
      </c>
      <c r="D353" t="s">
        <v>33</v>
      </c>
      <c r="E353" t="s">
        <v>49</v>
      </c>
      <c r="F353">
        <v>11</v>
      </c>
      <c r="G353">
        <v>3.8</v>
      </c>
      <c r="H353">
        <v>596750</v>
      </c>
      <c r="I353">
        <v>129</v>
      </c>
      <c r="J353">
        <v>4.3</v>
      </c>
    </row>
    <row r="354" spans="1:10" x14ac:dyDescent="0.3">
      <c r="A354">
        <v>353</v>
      </c>
      <c r="B354" t="s">
        <v>12</v>
      </c>
      <c r="C354">
        <v>2025</v>
      </c>
      <c r="D354" t="s">
        <v>33</v>
      </c>
      <c r="E354" t="s">
        <v>49</v>
      </c>
      <c r="F354">
        <v>11</v>
      </c>
      <c r="G354">
        <v>4.5</v>
      </c>
      <c r="H354">
        <v>617387</v>
      </c>
      <c r="I354">
        <v>59</v>
      </c>
      <c r="J354">
        <v>4.5</v>
      </c>
    </row>
    <row r="355" spans="1:10" x14ac:dyDescent="0.3">
      <c r="A355">
        <v>354</v>
      </c>
      <c r="B355" t="s">
        <v>13</v>
      </c>
      <c r="C355">
        <v>2025</v>
      </c>
      <c r="D355" t="s">
        <v>33</v>
      </c>
      <c r="E355" t="s">
        <v>49</v>
      </c>
      <c r="F355">
        <v>11</v>
      </c>
      <c r="G355">
        <v>4</v>
      </c>
      <c r="H355">
        <v>319802</v>
      </c>
      <c r="I355">
        <v>202</v>
      </c>
      <c r="J355">
        <v>4.5999999999999996</v>
      </c>
    </row>
    <row r="356" spans="1:10" x14ac:dyDescent="0.3">
      <c r="A356">
        <v>355</v>
      </c>
      <c r="B356" t="s">
        <v>14</v>
      </c>
      <c r="C356">
        <v>2025</v>
      </c>
      <c r="D356" t="s">
        <v>33</v>
      </c>
      <c r="E356" t="s">
        <v>49</v>
      </c>
      <c r="F356">
        <v>11</v>
      </c>
      <c r="G356">
        <v>5.0999999999999996</v>
      </c>
      <c r="H356">
        <v>555620</v>
      </c>
      <c r="I356">
        <v>243</v>
      </c>
      <c r="J356">
        <v>4.3</v>
      </c>
    </row>
    <row r="357" spans="1:10" x14ac:dyDescent="0.3">
      <c r="A357">
        <v>356</v>
      </c>
      <c r="B357" t="s">
        <v>15</v>
      </c>
      <c r="C357">
        <v>2025</v>
      </c>
      <c r="D357" t="s">
        <v>33</v>
      </c>
      <c r="E357" t="s">
        <v>49</v>
      </c>
      <c r="F357">
        <v>11</v>
      </c>
      <c r="G357">
        <v>6.3</v>
      </c>
      <c r="H357">
        <v>196458</v>
      </c>
      <c r="I357">
        <v>90</v>
      </c>
      <c r="J357">
        <v>4.5</v>
      </c>
    </row>
    <row r="358" spans="1:10" x14ac:dyDescent="0.3">
      <c r="A358">
        <v>357</v>
      </c>
      <c r="B358" t="s">
        <v>16</v>
      </c>
      <c r="C358">
        <v>2025</v>
      </c>
      <c r="D358" t="s">
        <v>33</v>
      </c>
      <c r="E358" t="s">
        <v>49</v>
      </c>
      <c r="F358">
        <v>11</v>
      </c>
      <c r="G358">
        <v>3.1</v>
      </c>
      <c r="H358">
        <v>880970</v>
      </c>
      <c r="I358">
        <v>71</v>
      </c>
      <c r="J358">
        <v>4.2</v>
      </c>
    </row>
    <row r="359" spans="1:10" x14ac:dyDescent="0.3">
      <c r="A359">
        <v>358</v>
      </c>
      <c r="B359" t="s">
        <v>17</v>
      </c>
      <c r="C359">
        <v>2025</v>
      </c>
      <c r="D359" t="s">
        <v>33</v>
      </c>
      <c r="E359" t="s">
        <v>49</v>
      </c>
      <c r="F359">
        <v>11</v>
      </c>
      <c r="G359">
        <v>4.8</v>
      </c>
      <c r="H359">
        <v>601378</v>
      </c>
      <c r="I359">
        <v>99</v>
      </c>
      <c r="J359">
        <v>4.5999999999999996</v>
      </c>
    </row>
    <row r="360" spans="1:10" x14ac:dyDescent="0.3">
      <c r="A360">
        <v>359</v>
      </c>
      <c r="B360" t="s">
        <v>18</v>
      </c>
      <c r="C360">
        <v>2025</v>
      </c>
      <c r="D360" t="s">
        <v>33</v>
      </c>
      <c r="E360" t="s">
        <v>49</v>
      </c>
      <c r="F360">
        <v>11</v>
      </c>
      <c r="G360">
        <v>8.6</v>
      </c>
      <c r="H360">
        <v>125045</v>
      </c>
      <c r="I360">
        <v>239</v>
      </c>
      <c r="J360">
        <v>4.7</v>
      </c>
    </row>
    <row r="361" spans="1:10" x14ac:dyDescent="0.3">
      <c r="A361">
        <v>360</v>
      </c>
      <c r="B361" t="s">
        <v>19</v>
      </c>
      <c r="C361">
        <v>2025</v>
      </c>
      <c r="D361" t="s">
        <v>33</v>
      </c>
      <c r="E361" t="s">
        <v>49</v>
      </c>
      <c r="F361">
        <v>11</v>
      </c>
      <c r="G361">
        <v>6.9</v>
      </c>
      <c r="H361">
        <v>182702</v>
      </c>
      <c r="I361">
        <v>68</v>
      </c>
      <c r="J361">
        <v>4.4000000000000004</v>
      </c>
    </row>
    <row r="362" spans="1:10" x14ac:dyDescent="0.3">
      <c r="A362">
        <v>361</v>
      </c>
      <c r="B362" t="s">
        <v>10</v>
      </c>
      <c r="C362">
        <v>2025</v>
      </c>
      <c r="D362" t="s">
        <v>34</v>
      </c>
      <c r="E362" t="s">
        <v>50</v>
      </c>
      <c r="F362">
        <v>133</v>
      </c>
      <c r="G362">
        <v>9.8000000000000007</v>
      </c>
      <c r="H362">
        <v>195179</v>
      </c>
      <c r="I362">
        <v>114</v>
      </c>
      <c r="J362">
        <v>4.5</v>
      </c>
    </row>
    <row r="363" spans="1:10" x14ac:dyDescent="0.3">
      <c r="A363">
        <v>362</v>
      </c>
      <c r="B363" t="s">
        <v>11</v>
      </c>
      <c r="C363">
        <v>2025</v>
      </c>
      <c r="D363" t="s">
        <v>34</v>
      </c>
      <c r="E363" t="s">
        <v>50</v>
      </c>
      <c r="F363">
        <v>133</v>
      </c>
      <c r="G363">
        <v>6</v>
      </c>
      <c r="H363">
        <v>752051</v>
      </c>
      <c r="I363">
        <v>170</v>
      </c>
      <c r="J363">
        <v>4.8</v>
      </c>
    </row>
    <row r="364" spans="1:10" x14ac:dyDescent="0.3">
      <c r="A364">
        <v>363</v>
      </c>
      <c r="B364" t="s">
        <v>12</v>
      </c>
      <c r="C364">
        <v>2025</v>
      </c>
      <c r="D364" t="s">
        <v>34</v>
      </c>
      <c r="E364" t="s">
        <v>50</v>
      </c>
      <c r="F364">
        <v>133</v>
      </c>
      <c r="G364">
        <v>8.6</v>
      </c>
      <c r="H364">
        <v>726748</v>
      </c>
      <c r="I364">
        <v>249</v>
      </c>
      <c r="J364">
        <v>4.7</v>
      </c>
    </row>
    <row r="365" spans="1:10" x14ac:dyDescent="0.3">
      <c r="A365">
        <v>364</v>
      </c>
      <c r="B365" t="s">
        <v>13</v>
      </c>
      <c r="C365">
        <v>2025</v>
      </c>
      <c r="D365" t="s">
        <v>34</v>
      </c>
      <c r="E365" t="s">
        <v>50</v>
      </c>
      <c r="F365">
        <v>133</v>
      </c>
      <c r="G365">
        <v>6.5</v>
      </c>
      <c r="H365">
        <v>854833</v>
      </c>
      <c r="I365">
        <v>140</v>
      </c>
      <c r="J365">
        <v>4.5999999999999996</v>
      </c>
    </row>
    <row r="366" spans="1:10" x14ac:dyDescent="0.3">
      <c r="A366">
        <v>365</v>
      </c>
      <c r="B366" t="s">
        <v>14</v>
      </c>
      <c r="C366">
        <v>2025</v>
      </c>
      <c r="D366" t="s">
        <v>34</v>
      </c>
      <c r="E366" t="s">
        <v>50</v>
      </c>
      <c r="F366">
        <v>133</v>
      </c>
      <c r="G366">
        <v>5.9</v>
      </c>
      <c r="H366">
        <v>596570</v>
      </c>
      <c r="I366">
        <v>56</v>
      </c>
      <c r="J366">
        <v>4.8</v>
      </c>
    </row>
    <row r="367" spans="1:10" x14ac:dyDescent="0.3">
      <c r="A367">
        <v>366</v>
      </c>
      <c r="B367" t="s">
        <v>15</v>
      </c>
      <c r="C367">
        <v>2025</v>
      </c>
      <c r="D367" t="s">
        <v>34</v>
      </c>
      <c r="E367" t="s">
        <v>50</v>
      </c>
      <c r="F367">
        <v>133</v>
      </c>
      <c r="G367">
        <v>6.6</v>
      </c>
      <c r="H367">
        <v>415222</v>
      </c>
      <c r="I367">
        <v>39</v>
      </c>
      <c r="J367">
        <v>4.8</v>
      </c>
    </row>
    <row r="368" spans="1:10" x14ac:dyDescent="0.3">
      <c r="A368">
        <v>367</v>
      </c>
      <c r="B368" t="s">
        <v>16</v>
      </c>
      <c r="C368">
        <v>2025</v>
      </c>
      <c r="D368" t="s">
        <v>34</v>
      </c>
      <c r="E368" t="s">
        <v>50</v>
      </c>
      <c r="F368">
        <v>133</v>
      </c>
      <c r="G368">
        <v>7.2</v>
      </c>
      <c r="H368">
        <v>728929</v>
      </c>
      <c r="I368">
        <v>173</v>
      </c>
      <c r="J368">
        <v>4.9000000000000004</v>
      </c>
    </row>
    <row r="369" spans="1:10" x14ac:dyDescent="0.3">
      <c r="A369">
        <v>368</v>
      </c>
      <c r="B369" t="s">
        <v>17</v>
      </c>
      <c r="C369">
        <v>2025</v>
      </c>
      <c r="D369" t="s">
        <v>34</v>
      </c>
      <c r="E369" t="s">
        <v>50</v>
      </c>
      <c r="F369">
        <v>133</v>
      </c>
      <c r="G369">
        <v>4.0999999999999996</v>
      </c>
      <c r="H369">
        <v>810854</v>
      </c>
      <c r="I369">
        <v>138</v>
      </c>
      <c r="J369">
        <v>4.7</v>
      </c>
    </row>
    <row r="370" spans="1:10" x14ac:dyDescent="0.3">
      <c r="A370">
        <v>369</v>
      </c>
      <c r="B370" t="s">
        <v>18</v>
      </c>
      <c r="C370">
        <v>2025</v>
      </c>
      <c r="D370" t="s">
        <v>34</v>
      </c>
      <c r="E370" t="s">
        <v>50</v>
      </c>
      <c r="F370">
        <v>133</v>
      </c>
      <c r="G370">
        <v>4.9000000000000004</v>
      </c>
      <c r="H370">
        <v>897676</v>
      </c>
      <c r="I370">
        <v>81</v>
      </c>
      <c r="J370">
        <v>4.3</v>
      </c>
    </row>
    <row r="371" spans="1:10" x14ac:dyDescent="0.3">
      <c r="A371">
        <v>370</v>
      </c>
      <c r="B371" t="s">
        <v>19</v>
      </c>
      <c r="C371">
        <v>2025</v>
      </c>
      <c r="D371" t="s">
        <v>34</v>
      </c>
      <c r="E371" t="s">
        <v>50</v>
      </c>
      <c r="F371">
        <v>133</v>
      </c>
      <c r="G371">
        <v>6.8</v>
      </c>
      <c r="H371">
        <v>397707</v>
      </c>
      <c r="I371">
        <v>113</v>
      </c>
      <c r="J371">
        <v>4.9000000000000004</v>
      </c>
    </row>
    <row r="372" spans="1:10" x14ac:dyDescent="0.3">
      <c r="A372">
        <v>371</v>
      </c>
      <c r="B372" t="s">
        <v>10</v>
      </c>
      <c r="C372">
        <v>2025</v>
      </c>
      <c r="D372" t="s">
        <v>35</v>
      </c>
      <c r="E372" t="s">
        <v>42</v>
      </c>
      <c r="F372">
        <v>58</v>
      </c>
      <c r="G372">
        <v>5.4</v>
      </c>
      <c r="H372">
        <v>320110</v>
      </c>
      <c r="I372">
        <v>33</v>
      </c>
      <c r="J372">
        <v>4.5</v>
      </c>
    </row>
    <row r="373" spans="1:10" x14ac:dyDescent="0.3">
      <c r="A373">
        <v>372</v>
      </c>
      <c r="B373" t="s">
        <v>11</v>
      </c>
      <c r="C373">
        <v>2025</v>
      </c>
      <c r="D373" t="s">
        <v>35</v>
      </c>
      <c r="E373" t="s">
        <v>42</v>
      </c>
      <c r="F373">
        <v>58</v>
      </c>
      <c r="G373">
        <v>6.6</v>
      </c>
      <c r="H373">
        <v>832639</v>
      </c>
      <c r="I373">
        <v>68</v>
      </c>
      <c r="J373">
        <v>4.8</v>
      </c>
    </row>
    <row r="374" spans="1:10" x14ac:dyDescent="0.3">
      <c r="A374">
        <v>373</v>
      </c>
      <c r="B374" t="s">
        <v>12</v>
      </c>
      <c r="C374">
        <v>2025</v>
      </c>
      <c r="D374" t="s">
        <v>35</v>
      </c>
      <c r="E374" t="s">
        <v>42</v>
      </c>
      <c r="F374">
        <v>58</v>
      </c>
      <c r="G374">
        <v>3.6</v>
      </c>
      <c r="H374">
        <v>634860</v>
      </c>
      <c r="I374">
        <v>100</v>
      </c>
      <c r="J374">
        <v>4.5999999999999996</v>
      </c>
    </row>
    <row r="375" spans="1:10" x14ac:dyDescent="0.3">
      <c r="A375">
        <v>374</v>
      </c>
      <c r="B375" t="s">
        <v>13</v>
      </c>
      <c r="C375">
        <v>2025</v>
      </c>
      <c r="D375" t="s">
        <v>35</v>
      </c>
      <c r="E375" t="s">
        <v>42</v>
      </c>
      <c r="F375">
        <v>58</v>
      </c>
      <c r="G375">
        <v>3.7</v>
      </c>
      <c r="H375">
        <v>319671</v>
      </c>
      <c r="I375">
        <v>196</v>
      </c>
      <c r="J375">
        <v>4.5</v>
      </c>
    </row>
    <row r="376" spans="1:10" x14ac:dyDescent="0.3">
      <c r="A376">
        <v>375</v>
      </c>
      <c r="B376" t="s">
        <v>14</v>
      </c>
      <c r="C376">
        <v>2025</v>
      </c>
      <c r="D376" t="s">
        <v>35</v>
      </c>
      <c r="E376" t="s">
        <v>42</v>
      </c>
      <c r="F376">
        <v>58</v>
      </c>
      <c r="G376">
        <v>2.1</v>
      </c>
      <c r="H376">
        <v>503533</v>
      </c>
      <c r="I376">
        <v>177</v>
      </c>
      <c r="J376">
        <v>4.3</v>
      </c>
    </row>
    <row r="377" spans="1:10" x14ac:dyDescent="0.3">
      <c r="A377">
        <v>376</v>
      </c>
      <c r="B377" t="s">
        <v>15</v>
      </c>
      <c r="C377">
        <v>2025</v>
      </c>
      <c r="D377" t="s">
        <v>35</v>
      </c>
      <c r="E377" t="s">
        <v>42</v>
      </c>
      <c r="F377">
        <v>58</v>
      </c>
      <c r="G377">
        <v>8.5</v>
      </c>
      <c r="H377">
        <v>608658</v>
      </c>
      <c r="I377">
        <v>246</v>
      </c>
      <c r="J377">
        <v>4.8</v>
      </c>
    </row>
    <row r="378" spans="1:10" x14ac:dyDescent="0.3">
      <c r="A378">
        <v>377</v>
      </c>
      <c r="B378" t="s">
        <v>16</v>
      </c>
      <c r="C378">
        <v>2025</v>
      </c>
      <c r="D378" t="s">
        <v>35</v>
      </c>
      <c r="E378" t="s">
        <v>42</v>
      </c>
      <c r="F378">
        <v>58</v>
      </c>
      <c r="G378">
        <v>2.4</v>
      </c>
      <c r="H378">
        <v>300114</v>
      </c>
      <c r="I378">
        <v>222</v>
      </c>
      <c r="J378">
        <v>4.7</v>
      </c>
    </row>
    <row r="379" spans="1:10" x14ac:dyDescent="0.3">
      <c r="A379">
        <v>378</v>
      </c>
      <c r="B379" t="s">
        <v>17</v>
      </c>
      <c r="C379">
        <v>2025</v>
      </c>
      <c r="D379" t="s">
        <v>35</v>
      </c>
      <c r="E379" t="s">
        <v>42</v>
      </c>
      <c r="F379">
        <v>58</v>
      </c>
      <c r="G379">
        <v>9.6999999999999993</v>
      </c>
      <c r="H379">
        <v>480829</v>
      </c>
      <c r="I379">
        <v>219</v>
      </c>
      <c r="J379">
        <v>4.8</v>
      </c>
    </row>
    <row r="380" spans="1:10" x14ac:dyDescent="0.3">
      <c r="A380">
        <v>379</v>
      </c>
      <c r="B380" t="s">
        <v>18</v>
      </c>
      <c r="C380">
        <v>2025</v>
      </c>
      <c r="D380" t="s">
        <v>35</v>
      </c>
      <c r="E380" t="s">
        <v>42</v>
      </c>
      <c r="F380">
        <v>58</v>
      </c>
      <c r="G380">
        <v>2.4</v>
      </c>
      <c r="H380">
        <v>704220</v>
      </c>
      <c r="I380">
        <v>75</v>
      </c>
      <c r="J380">
        <v>4.7</v>
      </c>
    </row>
    <row r="381" spans="1:10" x14ac:dyDescent="0.3">
      <c r="A381">
        <v>380</v>
      </c>
      <c r="B381" t="s">
        <v>19</v>
      </c>
      <c r="C381">
        <v>2025</v>
      </c>
      <c r="D381" t="s">
        <v>35</v>
      </c>
      <c r="E381" t="s">
        <v>42</v>
      </c>
      <c r="F381">
        <v>58</v>
      </c>
      <c r="G381">
        <v>7.7</v>
      </c>
      <c r="H381">
        <v>533704</v>
      </c>
      <c r="I381">
        <v>78</v>
      </c>
      <c r="J381">
        <v>4.7</v>
      </c>
    </row>
    <row r="382" spans="1:10" x14ac:dyDescent="0.3">
      <c r="A382">
        <v>381</v>
      </c>
      <c r="B382" t="s">
        <v>10</v>
      </c>
      <c r="C382">
        <v>2025</v>
      </c>
      <c r="D382" t="s">
        <v>36</v>
      </c>
      <c r="E382" t="s">
        <v>51</v>
      </c>
      <c r="F382">
        <v>131</v>
      </c>
      <c r="G382">
        <v>9.1999999999999993</v>
      </c>
      <c r="H382">
        <v>749413</v>
      </c>
      <c r="I382">
        <v>136</v>
      </c>
      <c r="J382">
        <v>4.2</v>
      </c>
    </row>
    <row r="383" spans="1:10" x14ac:dyDescent="0.3">
      <c r="A383">
        <v>382</v>
      </c>
      <c r="B383" t="s">
        <v>11</v>
      </c>
      <c r="C383">
        <v>2025</v>
      </c>
      <c r="D383" t="s">
        <v>36</v>
      </c>
      <c r="E383" t="s">
        <v>51</v>
      </c>
      <c r="F383">
        <v>131</v>
      </c>
      <c r="G383">
        <v>7.7</v>
      </c>
      <c r="H383">
        <v>537939</v>
      </c>
      <c r="I383">
        <v>246</v>
      </c>
      <c r="J383">
        <v>4.3</v>
      </c>
    </row>
    <row r="384" spans="1:10" x14ac:dyDescent="0.3">
      <c r="A384">
        <v>383</v>
      </c>
      <c r="B384" t="s">
        <v>12</v>
      </c>
      <c r="C384">
        <v>2025</v>
      </c>
      <c r="D384" t="s">
        <v>36</v>
      </c>
      <c r="E384" t="s">
        <v>51</v>
      </c>
      <c r="F384">
        <v>131</v>
      </c>
      <c r="G384">
        <v>5.2</v>
      </c>
      <c r="H384">
        <v>740081</v>
      </c>
      <c r="I384">
        <v>170</v>
      </c>
      <c r="J384">
        <v>4.4000000000000004</v>
      </c>
    </row>
    <row r="385" spans="1:10" x14ac:dyDescent="0.3">
      <c r="A385">
        <v>384</v>
      </c>
      <c r="B385" t="s">
        <v>13</v>
      </c>
      <c r="C385">
        <v>2025</v>
      </c>
      <c r="D385" t="s">
        <v>36</v>
      </c>
      <c r="E385" t="s">
        <v>51</v>
      </c>
      <c r="F385">
        <v>131</v>
      </c>
      <c r="G385">
        <v>9</v>
      </c>
      <c r="H385">
        <v>347068</v>
      </c>
      <c r="I385">
        <v>159</v>
      </c>
      <c r="J385">
        <v>4.3</v>
      </c>
    </row>
    <row r="386" spans="1:10" x14ac:dyDescent="0.3">
      <c r="A386">
        <v>385</v>
      </c>
      <c r="B386" t="s">
        <v>14</v>
      </c>
      <c r="C386">
        <v>2025</v>
      </c>
      <c r="D386" t="s">
        <v>36</v>
      </c>
      <c r="E386" t="s">
        <v>51</v>
      </c>
      <c r="F386">
        <v>131</v>
      </c>
      <c r="G386">
        <v>8.4</v>
      </c>
      <c r="H386">
        <v>565564</v>
      </c>
      <c r="I386">
        <v>31</v>
      </c>
      <c r="J386">
        <v>4.7</v>
      </c>
    </row>
    <row r="387" spans="1:10" x14ac:dyDescent="0.3">
      <c r="A387">
        <v>386</v>
      </c>
      <c r="B387" t="s">
        <v>15</v>
      </c>
      <c r="C387">
        <v>2025</v>
      </c>
      <c r="D387" t="s">
        <v>36</v>
      </c>
      <c r="E387" t="s">
        <v>51</v>
      </c>
      <c r="F387">
        <v>131</v>
      </c>
      <c r="G387">
        <v>7.5</v>
      </c>
      <c r="H387">
        <v>744731</v>
      </c>
      <c r="I387">
        <v>131</v>
      </c>
      <c r="J387">
        <v>4.5999999999999996</v>
      </c>
    </row>
    <row r="388" spans="1:10" x14ac:dyDescent="0.3">
      <c r="A388">
        <v>387</v>
      </c>
      <c r="B388" t="s">
        <v>16</v>
      </c>
      <c r="C388">
        <v>2025</v>
      </c>
      <c r="D388" t="s">
        <v>36</v>
      </c>
      <c r="E388" t="s">
        <v>51</v>
      </c>
      <c r="F388">
        <v>131</v>
      </c>
      <c r="G388">
        <v>6.1</v>
      </c>
      <c r="H388">
        <v>472761</v>
      </c>
      <c r="I388">
        <v>224</v>
      </c>
      <c r="J388">
        <v>4.4000000000000004</v>
      </c>
    </row>
    <row r="389" spans="1:10" x14ac:dyDescent="0.3">
      <c r="A389">
        <v>388</v>
      </c>
      <c r="B389" t="s">
        <v>17</v>
      </c>
      <c r="C389">
        <v>2025</v>
      </c>
      <c r="D389" t="s">
        <v>36</v>
      </c>
      <c r="E389" t="s">
        <v>51</v>
      </c>
      <c r="F389">
        <v>131</v>
      </c>
      <c r="G389">
        <v>4.5</v>
      </c>
      <c r="H389">
        <v>532005</v>
      </c>
      <c r="I389">
        <v>102</v>
      </c>
      <c r="J389">
        <v>4.4000000000000004</v>
      </c>
    </row>
    <row r="390" spans="1:10" x14ac:dyDescent="0.3">
      <c r="A390">
        <v>389</v>
      </c>
      <c r="B390" t="s">
        <v>18</v>
      </c>
      <c r="C390">
        <v>2025</v>
      </c>
      <c r="D390" t="s">
        <v>36</v>
      </c>
      <c r="E390" t="s">
        <v>51</v>
      </c>
      <c r="F390">
        <v>131</v>
      </c>
      <c r="G390">
        <v>9.5</v>
      </c>
      <c r="H390">
        <v>239806</v>
      </c>
      <c r="I390">
        <v>64</v>
      </c>
      <c r="J390">
        <v>4.5</v>
      </c>
    </row>
    <row r="391" spans="1:10" x14ac:dyDescent="0.3">
      <c r="A391">
        <v>390</v>
      </c>
      <c r="B391" t="s">
        <v>19</v>
      </c>
      <c r="C391">
        <v>2025</v>
      </c>
      <c r="D391" t="s">
        <v>36</v>
      </c>
      <c r="E391" t="s">
        <v>51</v>
      </c>
      <c r="F391">
        <v>131</v>
      </c>
      <c r="G391">
        <v>4.4000000000000004</v>
      </c>
      <c r="H391">
        <v>666978</v>
      </c>
      <c r="I391">
        <v>189</v>
      </c>
      <c r="J391">
        <v>4.4000000000000004</v>
      </c>
    </row>
    <row r="392" spans="1:10" x14ac:dyDescent="0.3">
      <c r="A392">
        <v>391</v>
      </c>
      <c r="B392" t="s">
        <v>10</v>
      </c>
      <c r="C392">
        <v>2025</v>
      </c>
      <c r="D392" t="s">
        <v>37</v>
      </c>
      <c r="E392" t="s">
        <v>52</v>
      </c>
      <c r="F392">
        <v>79</v>
      </c>
      <c r="G392">
        <v>6.3</v>
      </c>
      <c r="H392">
        <v>540288</v>
      </c>
      <c r="I392">
        <v>51</v>
      </c>
      <c r="J392">
        <v>4.3</v>
      </c>
    </row>
    <row r="393" spans="1:10" x14ac:dyDescent="0.3">
      <c r="A393">
        <v>392</v>
      </c>
      <c r="B393" t="s">
        <v>11</v>
      </c>
      <c r="C393">
        <v>2025</v>
      </c>
      <c r="D393" t="s">
        <v>37</v>
      </c>
      <c r="E393" t="s">
        <v>52</v>
      </c>
      <c r="F393">
        <v>79</v>
      </c>
      <c r="G393">
        <v>3.1</v>
      </c>
      <c r="H393">
        <v>362106</v>
      </c>
      <c r="I393">
        <v>72</v>
      </c>
      <c r="J393">
        <v>4.8</v>
      </c>
    </row>
    <row r="394" spans="1:10" x14ac:dyDescent="0.3">
      <c r="A394">
        <v>393</v>
      </c>
      <c r="B394" t="s">
        <v>12</v>
      </c>
      <c r="C394">
        <v>2025</v>
      </c>
      <c r="D394" t="s">
        <v>37</v>
      </c>
      <c r="E394" t="s">
        <v>52</v>
      </c>
      <c r="F394">
        <v>79</v>
      </c>
      <c r="G394">
        <v>7.6</v>
      </c>
      <c r="H394">
        <v>125933</v>
      </c>
      <c r="I394">
        <v>104</v>
      </c>
      <c r="J394">
        <v>4.4000000000000004</v>
      </c>
    </row>
    <row r="395" spans="1:10" x14ac:dyDescent="0.3">
      <c r="A395">
        <v>394</v>
      </c>
      <c r="B395" t="s">
        <v>13</v>
      </c>
      <c r="C395">
        <v>2025</v>
      </c>
      <c r="D395" t="s">
        <v>37</v>
      </c>
      <c r="E395" t="s">
        <v>52</v>
      </c>
      <c r="F395">
        <v>79</v>
      </c>
      <c r="G395">
        <v>4.9000000000000004</v>
      </c>
      <c r="H395">
        <v>618202</v>
      </c>
      <c r="I395">
        <v>230</v>
      </c>
      <c r="J395">
        <v>4.3</v>
      </c>
    </row>
    <row r="396" spans="1:10" x14ac:dyDescent="0.3">
      <c r="A396">
        <v>395</v>
      </c>
      <c r="B396" t="s">
        <v>14</v>
      </c>
      <c r="C396">
        <v>2025</v>
      </c>
      <c r="D396" t="s">
        <v>37</v>
      </c>
      <c r="E396" t="s">
        <v>52</v>
      </c>
      <c r="F396">
        <v>79</v>
      </c>
      <c r="G396">
        <v>6.9</v>
      </c>
      <c r="H396">
        <v>439664</v>
      </c>
      <c r="I396">
        <v>97</v>
      </c>
      <c r="J396">
        <v>4.5</v>
      </c>
    </row>
    <row r="397" spans="1:10" x14ac:dyDescent="0.3">
      <c r="A397">
        <v>396</v>
      </c>
      <c r="B397" t="s">
        <v>15</v>
      </c>
      <c r="C397">
        <v>2025</v>
      </c>
      <c r="D397" t="s">
        <v>37</v>
      </c>
      <c r="E397" t="s">
        <v>52</v>
      </c>
      <c r="F397">
        <v>79</v>
      </c>
      <c r="G397">
        <v>9.1999999999999993</v>
      </c>
      <c r="H397">
        <v>184752</v>
      </c>
      <c r="I397">
        <v>105</v>
      </c>
      <c r="J397">
        <v>4.8</v>
      </c>
    </row>
    <row r="398" spans="1:10" x14ac:dyDescent="0.3">
      <c r="A398">
        <v>397</v>
      </c>
      <c r="B398" t="s">
        <v>16</v>
      </c>
      <c r="C398">
        <v>2025</v>
      </c>
      <c r="D398" t="s">
        <v>37</v>
      </c>
      <c r="E398" t="s">
        <v>52</v>
      </c>
      <c r="F398">
        <v>79</v>
      </c>
      <c r="G398">
        <v>3.4</v>
      </c>
      <c r="H398">
        <v>414492</v>
      </c>
      <c r="I398">
        <v>31</v>
      </c>
      <c r="J398">
        <v>4.3</v>
      </c>
    </row>
    <row r="399" spans="1:10" x14ac:dyDescent="0.3">
      <c r="A399">
        <v>398</v>
      </c>
      <c r="B399" t="s">
        <v>17</v>
      </c>
      <c r="C399">
        <v>2025</v>
      </c>
      <c r="D399" t="s">
        <v>37</v>
      </c>
      <c r="E399" t="s">
        <v>52</v>
      </c>
      <c r="F399">
        <v>79</v>
      </c>
      <c r="G399">
        <v>8.1999999999999993</v>
      </c>
      <c r="H399">
        <v>871914</v>
      </c>
      <c r="I399">
        <v>78</v>
      </c>
      <c r="J399">
        <v>4.9000000000000004</v>
      </c>
    </row>
    <row r="400" spans="1:10" x14ac:dyDescent="0.3">
      <c r="A400">
        <v>399</v>
      </c>
      <c r="B400" t="s">
        <v>18</v>
      </c>
      <c r="C400">
        <v>2025</v>
      </c>
      <c r="D400" t="s">
        <v>37</v>
      </c>
      <c r="E400" t="s">
        <v>52</v>
      </c>
      <c r="F400">
        <v>79</v>
      </c>
      <c r="G400">
        <v>2.1</v>
      </c>
      <c r="H400">
        <v>739266</v>
      </c>
      <c r="I400">
        <v>46</v>
      </c>
      <c r="J400">
        <v>4.9000000000000004</v>
      </c>
    </row>
    <row r="401" spans="1:10" x14ac:dyDescent="0.3">
      <c r="A401">
        <v>400</v>
      </c>
      <c r="B401" t="s">
        <v>19</v>
      </c>
      <c r="C401">
        <v>2025</v>
      </c>
      <c r="D401" t="s">
        <v>37</v>
      </c>
      <c r="E401" t="s">
        <v>52</v>
      </c>
      <c r="F401">
        <v>79</v>
      </c>
      <c r="G401">
        <v>5.2</v>
      </c>
      <c r="H401">
        <v>306007</v>
      </c>
      <c r="I401">
        <v>198</v>
      </c>
      <c r="J401">
        <v>4.8</v>
      </c>
    </row>
    <row r="402" spans="1:10" x14ac:dyDescent="0.3">
      <c r="A402">
        <v>401</v>
      </c>
      <c r="B402" t="s">
        <v>10</v>
      </c>
      <c r="C402">
        <v>2025</v>
      </c>
      <c r="D402" t="s">
        <v>38</v>
      </c>
      <c r="E402" t="s">
        <v>43</v>
      </c>
      <c r="F402">
        <v>110</v>
      </c>
      <c r="G402">
        <v>7.5</v>
      </c>
      <c r="H402">
        <v>538254</v>
      </c>
      <c r="I402">
        <v>168</v>
      </c>
      <c r="J402">
        <v>4.3</v>
      </c>
    </row>
    <row r="403" spans="1:10" x14ac:dyDescent="0.3">
      <c r="A403">
        <v>402</v>
      </c>
      <c r="B403" t="s">
        <v>11</v>
      </c>
      <c r="C403">
        <v>2025</v>
      </c>
      <c r="D403" t="s">
        <v>38</v>
      </c>
      <c r="E403" t="s">
        <v>43</v>
      </c>
      <c r="F403">
        <v>110</v>
      </c>
      <c r="G403">
        <v>3.1</v>
      </c>
      <c r="H403">
        <v>361786</v>
      </c>
      <c r="I403">
        <v>89</v>
      </c>
      <c r="J403">
        <v>4.8</v>
      </c>
    </row>
    <row r="404" spans="1:10" x14ac:dyDescent="0.3">
      <c r="A404">
        <v>403</v>
      </c>
      <c r="B404" t="s">
        <v>12</v>
      </c>
      <c r="C404">
        <v>2025</v>
      </c>
      <c r="D404" t="s">
        <v>38</v>
      </c>
      <c r="E404" t="s">
        <v>43</v>
      </c>
      <c r="F404">
        <v>110</v>
      </c>
      <c r="G404">
        <v>3.3</v>
      </c>
      <c r="H404">
        <v>514043</v>
      </c>
      <c r="I404">
        <v>202</v>
      </c>
      <c r="J404">
        <v>4.5999999999999996</v>
      </c>
    </row>
    <row r="405" spans="1:10" x14ac:dyDescent="0.3">
      <c r="A405">
        <v>404</v>
      </c>
      <c r="B405" t="s">
        <v>13</v>
      </c>
      <c r="C405">
        <v>2025</v>
      </c>
      <c r="D405" t="s">
        <v>38</v>
      </c>
      <c r="E405" t="s">
        <v>43</v>
      </c>
      <c r="F405">
        <v>110</v>
      </c>
      <c r="G405">
        <v>5.8</v>
      </c>
      <c r="H405">
        <v>247594</v>
      </c>
      <c r="I405">
        <v>109</v>
      </c>
      <c r="J405">
        <v>4.5</v>
      </c>
    </row>
    <row r="406" spans="1:10" x14ac:dyDescent="0.3">
      <c r="A406">
        <v>405</v>
      </c>
      <c r="B406" t="s">
        <v>14</v>
      </c>
      <c r="C406">
        <v>2025</v>
      </c>
      <c r="D406" t="s">
        <v>38</v>
      </c>
      <c r="E406" t="s">
        <v>43</v>
      </c>
      <c r="F406">
        <v>110</v>
      </c>
      <c r="G406">
        <v>6.9</v>
      </c>
      <c r="H406">
        <v>103978</v>
      </c>
      <c r="I406">
        <v>225</v>
      </c>
      <c r="J406">
        <v>4.8</v>
      </c>
    </row>
    <row r="407" spans="1:10" x14ac:dyDescent="0.3">
      <c r="A407">
        <v>406</v>
      </c>
      <c r="B407" t="s">
        <v>15</v>
      </c>
      <c r="C407">
        <v>2025</v>
      </c>
      <c r="D407" t="s">
        <v>38</v>
      </c>
      <c r="E407" t="s">
        <v>43</v>
      </c>
      <c r="F407">
        <v>110</v>
      </c>
      <c r="G407">
        <v>7.9</v>
      </c>
      <c r="H407">
        <v>154583</v>
      </c>
      <c r="I407">
        <v>197</v>
      </c>
      <c r="J407">
        <v>4.8</v>
      </c>
    </row>
    <row r="408" spans="1:10" x14ac:dyDescent="0.3">
      <c r="A408">
        <v>407</v>
      </c>
      <c r="B408" t="s">
        <v>16</v>
      </c>
      <c r="C408">
        <v>2025</v>
      </c>
      <c r="D408" t="s">
        <v>38</v>
      </c>
      <c r="E408" t="s">
        <v>43</v>
      </c>
      <c r="F408">
        <v>110</v>
      </c>
      <c r="G408">
        <v>8.9</v>
      </c>
      <c r="H408">
        <v>355851</v>
      </c>
      <c r="I408">
        <v>94</v>
      </c>
      <c r="J408">
        <v>4.8</v>
      </c>
    </row>
    <row r="409" spans="1:10" x14ac:dyDescent="0.3">
      <c r="A409">
        <v>408</v>
      </c>
      <c r="B409" t="s">
        <v>17</v>
      </c>
      <c r="C409">
        <v>2025</v>
      </c>
      <c r="D409" t="s">
        <v>38</v>
      </c>
      <c r="E409" t="s">
        <v>43</v>
      </c>
      <c r="F409">
        <v>110</v>
      </c>
      <c r="G409">
        <v>7.1</v>
      </c>
      <c r="H409">
        <v>683107</v>
      </c>
      <c r="I409">
        <v>21</v>
      </c>
      <c r="J409">
        <v>4.4000000000000004</v>
      </c>
    </row>
    <row r="410" spans="1:10" x14ac:dyDescent="0.3">
      <c r="A410">
        <v>409</v>
      </c>
      <c r="B410" t="s">
        <v>18</v>
      </c>
      <c r="C410">
        <v>2025</v>
      </c>
      <c r="D410" t="s">
        <v>38</v>
      </c>
      <c r="E410" t="s">
        <v>43</v>
      </c>
      <c r="F410">
        <v>110</v>
      </c>
      <c r="G410">
        <v>2.2999999999999998</v>
      </c>
      <c r="H410">
        <v>591941</v>
      </c>
      <c r="I410">
        <v>250</v>
      </c>
      <c r="J410">
        <v>4.5</v>
      </c>
    </row>
    <row r="411" spans="1:10" x14ac:dyDescent="0.3">
      <c r="A411">
        <v>410</v>
      </c>
      <c r="B411" t="s">
        <v>19</v>
      </c>
      <c r="C411">
        <v>2025</v>
      </c>
      <c r="D411" t="s">
        <v>38</v>
      </c>
      <c r="E411" t="s">
        <v>43</v>
      </c>
      <c r="F411">
        <v>110</v>
      </c>
      <c r="G411">
        <v>3.5</v>
      </c>
      <c r="H411">
        <v>379837</v>
      </c>
      <c r="I411">
        <v>137</v>
      </c>
      <c r="J411">
        <v>4.8</v>
      </c>
    </row>
    <row r="412" spans="1:10" x14ac:dyDescent="0.3">
      <c r="A412">
        <v>411</v>
      </c>
      <c r="B412" t="s">
        <v>10</v>
      </c>
      <c r="C412">
        <v>2025</v>
      </c>
      <c r="D412" t="s">
        <v>39</v>
      </c>
      <c r="E412" t="s">
        <v>46</v>
      </c>
      <c r="F412">
        <v>167</v>
      </c>
      <c r="G412">
        <v>8.6999999999999993</v>
      </c>
      <c r="H412">
        <v>526829</v>
      </c>
      <c r="I412">
        <v>175</v>
      </c>
      <c r="J412">
        <v>4.7</v>
      </c>
    </row>
    <row r="413" spans="1:10" x14ac:dyDescent="0.3">
      <c r="A413">
        <v>412</v>
      </c>
      <c r="B413" t="s">
        <v>11</v>
      </c>
      <c r="C413">
        <v>2025</v>
      </c>
      <c r="D413" t="s">
        <v>39</v>
      </c>
      <c r="E413" t="s">
        <v>46</v>
      </c>
      <c r="F413">
        <v>167</v>
      </c>
      <c r="G413">
        <v>9.5</v>
      </c>
      <c r="H413">
        <v>289554</v>
      </c>
      <c r="I413">
        <v>187</v>
      </c>
      <c r="J413">
        <v>4.2</v>
      </c>
    </row>
    <row r="414" spans="1:10" x14ac:dyDescent="0.3">
      <c r="A414">
        <v>413</v>
      </c>
      <c r="B414" t="s">
        <v>12</v>
      </c>
      <c r="C414">
        <v>2025</v>
      </c>
      <c r="D414" t="s">
        <v>39</v>
      </c>
      <c r="E414" t="s">
        <v>46</v>
      </c>
      <c r="F414">
        <v>167</v>
      </c>
      <c r="G414">
        <v>2.7</v>
      </c>
      <c r="H414">
        <v>289873</v>
      </c>
      <c r="I414">
        <v>152</v>
      </c>
      <c r="J414">
        <v>4.7</v>
      </c>
    </row>
    <row r="415" spans="1:10" x14ac:dyDescent="0.3">
      <c r="A415">
        <v>414</v>
      </c>
      <c r="B415" t="s">
        <v>13</v>
      </c>
      <c r="C415">
        <v>2025</v>
      </c>
      <c r="D415" t="s">
        <v>39</v>
      </c>
      <c r="E415" t="s">
        <v>46</v>
      </c>
      <c r="F415">
        <v>167</v>
      </c>
      <c r="G415">
        <v>6.5</v>
      </c>
      <c r="H415">
        <v>443454</v>
      </c>
      <c r="I415">
        <v>192</v>
      </c>
      <c r="J415">
        <v>4.5</v>
      </c>
    </row>
    <row r="416" spans="1:10" x14ac:dyDescent="0.3">
      <c r="A416">
        <v>415</v>
      </c>
      <c r="B416" t="s">
        <v>14</v>
      </c>
      <c r="C416">
        <v>2025</v>
      </c>
      <c r="D416" t="s">
        <v>39</v>
      </c>
      <c r="E416" t="s">
        <v>46</v>
      </c>
      <c r="F416">
        <v>167</v>
      </c>
      <c r="G416">
        <v>5.4</v>
      </c>
      <c r="H416">
        <v>615302</v>
      </c>
      <c r="I416">
        <v>201</v>
      </c>
      <c r="J416">
        <v>4.5</v>
      </c>
    </row>
    <row r="417" spans="1:10" x14ac:dyDescent="0.3">
      <c r="A417">
        <v>416</v>
      </c>
      <c r="B417" t="s">
        <v>15</v>
      </c>
      <c r="C417">
        <v>2025</v>
      </c>
      <c r="D417" t="s">
        <v>39</v>
      </c>
      <c r="E417" t="s">
        <v>46</v>
      </c>
      <c r="F417">
        <v>167</v>
      </c>
      <c r="G417">
        <v>7.3</v>
      </c>
      <c r="H417">
        <v>803857</v>
      </c>
      <c r="I417">
        <v>21</v>
      </c>
      <c r="J417">
        <v>4.5999999999999996</v>
      </c>
    </row>
    <row r="418" spans="1:10" x14ac:dyDescent="0.3">
      <c r="A418">
        <v>417</v>
      </c>
      <c r="B418" t="s">
        <v>16</v>
      </c>
      <c r="C418">
        <v>2025</v>
      </c>
      <c r="D418" t="s">
        <v>39</v>
      </c>
      <c r="E418" t="s">
        <v>46</v>
      </c>
      <c r="F418">
        <v>167</v>
      </c>
      <c r="G418">
        <v>4.9000000000000004</v>
      </c>
      <c r="H418">
        <v>821784</v>
      </c>
      <c r="I418">
        <v>110</v>
      </c>
      <c r="J418">
        <v>4.5999999999999996</v>
      </c>
    </row>
    <row r="419" spans="1:10" x14ac:dyDescent="0.3">
      <c r="A419">
        <v>418</v>
      </c>
      <c r="B419" t="s">
        <v>17</v>
      </c>
      <c r="C419">
        <v>2025</v>
      </c>
      <c r="D419" t="s">
        <v>39</v>
      </c>
      <c r="E419" t="s">
        <v>46</v>
      </c>
      <c r="F419">
        <v>167</v>
      </c>
      <c r="G419">
        <v>4.5999999999999996</v>
      </c>
      <c r="H419">
        <v>203077</v>
      </c>
      <c r="I419">
        <v>28</v>
      </c>
      <c r="J419">
        <v>4.7</v>
      </c>
    </row>
    <row r="420" spans="1:10" x14ac:dyDescent="0.3">
      <c r="A420">
        <v>419</v>
      </c>
      <c r="B420" t="s">
        <v>18</v>
      </c>
      <c r="C420">
        <v>2025</v>
      </c>
      <c r="D420" t="s">
        <v>39</v>
      </c>
      <c r="E420" t="s">
        <v>46</v>
      </c>
      <c r="F420">
        <v>167</v>
      </c>
      <c r="G420">
        <v>7.6</v>
      </c>
      <c r="H420">
        <v>359466</v>
      </c>
      <c r="I420">
        <v>120</v>
      </c>
      <c r="J420">
        <v>4.5999999999999996</v>
      </c>
    </row>
    <row r="421" spans="1:10" x14ac:dyDescent="0.3">
      <c r="A421">
        <v>420</v>
      </c>
      <c r="B421" t="s">
        <v>19</v>
      </c>
      <c r="C421">
        <v>2025</v>
      </c>
      <c r="D421" t="s">
        <v>39</v>
      </c>
      <c r="E421" t="s">
        <v>46</v>
      </c>
      <c r="F421">
        <v>167</v>
      </c>
      <c r="G421">
        <v>8.4</v>
      </c>
      <c r="H421">
        <v>689317</v>
      </c>
      <c r="I421">
        <v>65</v>
      </c>
      <c r="J421">
        <v>4.4000000000000004</v>
      </c>
    </row>
    <row r="422" spans="1:10" x14ac:dyDescent="0.3">
      <c r="A422">
        <v>421</v>
      </c>
      <c r="B422" t="s">
        <v>10</v>
      </c>
      <c r="C422">
        <v>2025</v>
      </c>
      <c r="D422" t="s">
        <v>40</v>
      </c>
      <c r="E422" t="s">
        <v>47</v>
      </c>
      <c r="F422">
        <v>100</v>
      </c>
      <c r="G422">
        <v>9</v>
      </c>
      <c r="H422">
        <v>780736</v>
      </c>
      <c r="I422">
        <v>129</v>
      </c>
      <c r="J422">
        <v>4.8</v>
      </c>
    </row>
    <row r="423" spans="1:10" x14ac:dyDescent="0.3">
      <c r="A423">
        <v>422</v>
      </c>
      <c r="B423" t="s">
        <v>11</v>
      </c>
      <c r="C423">
        <v>2025</v>
      </c>
      <c r="D423" t="s">
        <v>40</v>
      </c>
      <c r="E423" t="s">
        <v>47</v>
      </c>
      <c r="F423">
        <v>100</v>
      </c>
      <c r="G423">
        <v>4.5999999999999996</v>
      </c>
      <c r="H423">
        <v>611560</v>
      </c>
      <c r="I423">
        <v>147</v>
      </c>
      <c r="J423">
        <v>4.8</v>
      </c>
    </row>
    <row r="424" spans="1:10" x14ac:dyDescent="0.3">
      <c r="A424">
        <v>423</v>
      </c>
      <c r="B424" t="s">
        <v>12</v>
      </c>
      <c r="C424">
        <v>2025</v>
      </c>
      <c r="D424" t="s">
        <v>40</v>
      </c>
      <c r="E424" t="s">
        <v>47</v>
      </c>
      <c r="F424">
        <v>100</v>
      </c>
      <c r="G424">
        <v>3.8</v>
      </c>
      <c r="H424">
        <v>229552</v>
      </c>
      <c r="I424">
        <v>121</v>
      </c>
      <c r="J424">
        <v>4.9000000000000004</v>
      </c>
    </row>
    <row r="425" spans="1:10" x14ac:dyDescent="0.3">
      <c r="A425">
        <v>424</v>
      </c>
      <c r="B425" t="s">
        <v>13</v>
      </c>
      <c r="C425">
        <v>2025</v>
      </c>
      <c r="D425" t="s">
        <v>40</v>
      </c>
      <c r="E425" t="s">
        <v>47</v>
      </c>
      <c r="F425">
        <v>100</v>
      </c>
      <c r="G425">
        <v>4.5</v>
      </c>
      <c r="H425">
        <v>216426</v>
      </c>
      <c r="I425">
        <v>105</v>
      </c>
      <c r="J425">
        <v>4.4000000000000004</v>
      </c>
    </row>
    <row r="426" spans="1:10" x14ac:dyDescent="0.3">
      <c r="A426">
        <v>425</v>
      </c>
      <c r="B426" t="s">
        <v>14</v>
      </c>
      <c r="C426">
        <v>2025</v>
      </c>
      <c r="D426" t="s">
        <v>40</v>
      </c>
      <c r="E426" t="s">
        <v>47</v>
      </c>
      <c r="F426">
        <v>100</v>
      </c>
      <c r="G426">
        <v>3.2</v>
      </c>
      <c r="H426">
        <v>673407</v>
      </c>
      <c r="I426">
        <v>176</v>
      </c>
      <c r="J426">
        <v>4.4000000000000004</v>
      </c>
    </row>
    <row r="427" spans="1:10" x14ac:dyDescent="0.3">
      <c r="A427">
        <v>426</v>
      </c>
      <c r="B427" t="s">
        <v>15</v>
      </c>
      <c r="C427">
        <v>2025</v>
      </c>
      <c r="D427" t="s">
        <v>40</v>
      </c>
      <c r="E427" t="s">
        <v>47</v>
      </c>
      <c r="F427">
        <v>100</v>
      </c>
      <c r="G427">
        <v>7.1</v>
      </c>
      <c r="H427">
        <v>307479</v>
      </c>
      <c r="I427">
        <v>208</v>
      </c>
      <c r="J427">
        <v>4.3</v>
      </c>
    </row>
    <row r="428" spans="1:10" x14ac:dyDescent="0.3">
      <c r="A428">
        <v>427</v>
      </c>
      <c r="B428" t="s">
        <v>16</v>
      </c>
      <c r="C428">
        <v>2025</v>
      </c>
      <c r="D428" t="s">
        <v>40</v>
      </c>
      <c r="E428" t="s">
        <v>47</v>
      </c>
      <c r="F428">
        <v>100</v>
      </c>
      <c r="G428">
        <v>3.7</v>
      </c>
      <c r="H428">
        <v>653706</v>
      </c>
      <c r="I428">
        <v>130</v>
      </c>
      <c r="J428">
        <v>4.3</v>
      </c>
    </row>
    <row r="429" spans="1:10" x14ac:dyDescent="0.3">
      <c r="A429">
        <v>428</v>
      </c>
      <c r="B429" t="s">
        <v>17</v>
      </c>
      <c r="C429">
        <v>2025</v>
      </c>
      <c r="D429" t="s">
        <v>40</v>
      </c>
      <c r="E429" t="s">
        <v>47</v>
      </c>
      <c r="F429">
        <v>100</v>
      </c>
      <c r="G429">
        <v>5.3</v>
      </c>
      <c r="H429">
        <v>186386</v>
      </c>
      <c r="I429">
        <v>132</v>
      </c>
      <c r="J429">
        <v>4.9000000000000004</v>
      </c>
    </row>
    <row r="430" spans="1:10" x14ac:dyDescent="0.3">
      <c r="A430">
        <v>429</v>
      </c>
      <c r="B430" t="s">
        <v>18</v>
      </c>
      <c r="C430">
        <v>2025</v>
      </c>
      <c r="D430" t="s">
        <v>40</v>
      </c>
      <c r="E430" t="s">
        <v>47</v>
      </c>
      <c r="F430">
        <v>100</v>
      </c>
      <c r="G430">
        <v>9.6</v>
      </c>
      <c r="H430">
        <v>860226</v>
      </c>
      <c r="I430">
        <v>78</v>
      </c>
      <c r="J430">
        <v>4.2</v>
      </c>
    </row>
    <row r="431" spans="1:10" x14ac:dyDescent="0.3">
      <c r="A431">
        <v>430</v>
      </c>
      <c r="B431" t="s">
        <v>19</v>
      </c>
      <c r="C431">
        <v>2025</v>
      </c>
      <c r="D431" t="s">
        <v>40</v>
      </c>
      <c r="E431" t="s">
        <v>47</v>
      </c>
      <c r="F431">
        <v>100</v>
      </c>
      <c r="G431">
        <v>7.1</v>
      </c>
      <c r="H431">
        <v>139843</v>
      </c>
      <c r="I431">
        <v>84</v>
      </c>
      <c r="J431">
        <v>4.2</v>
      </c>
    </row>
    <row r="432" spans="1:10" x14ac:dyDescent="0.3">
      <c r="A432">
        <v>431</v>
      </c>
      <c r="B432" t="s">
        <v>10</v>
      </c>
      <c r="C432">
        <v>2025</v>
      </c>
      <c r="D432" t="s">
        <v>41</v>
      </c>
      <c r="E432" t="s">
        <v>53</v>
      </c>
      <c r="F432">
        <v>14</v>
      </c>
      <c r="G432">
        <v>9.6</v>
      </c>
      <c r="H432">
        <v>547001</v>
      </c>
      <c r="I432">
        <v>153</v>
      </c>
      <c r="J432">
        <v>4.3</v>
      </c>
    </row>
    <row r="433" spans="1:10" x14ac:dyDescent="0.3">
      <c r="A433">
        <v>432</v>
      </c>
      <c r="B433" t="s">
        <v>11</v>
      </c>
      <c r="C433">
        <v>2025</v>
      </c>
      <c r="D433" t="s">
        <v>41</v>
      </c>
      <c r="E433" t="s">
        <v>53</v>
      </c>
      <c r="F433">
        <v>14</v>
      </c>
      <c r="G433">
        <v>9.9</v>
      </c>
      <c r="H433">
        <v>538538</v>
      </c>
      <c r="I433">
        <v>208</v>
      </c>
      <c r="J433">
        <v>4.8</v>
      </c>
    </row>
    <row r="434" spans="1:10" x14ac:dyDescent="0.3">
      <c r="A434">
        <v>433</v>
      </c>
      <c r="B434" t="s">
        <v>12</v>
      </c>
      <c r="C434">
        <v>2025</v>
      </c>
      <c r="D434" t="s">
        <v>41</v>
      </c>
      <c r="E434" t="s">
        <v>53</v>
      </c>
      <c r="F434">
        <v>14</v>
      </c>
      <c r="G434">
        <v>9.9</v>
      </c>
      <c r="H434">
        <v>476468</v>
      </c>
      <c r="I434">
        <v>245</v>
      </c>
      <c r="J434">
        <v>4.5999999999999996</v>
      </c>
    </row>
    <row r="435" spans="1:10" x14ac:dyDescent="0.3">
      <c r="A435">
        <v>434</v>
      </c>
      <c r="B435" t="s">
        <v>13</v>
      </c>
      <c r="C435">
        <v>2025</v>
      </c>
      <c r="D435" t="s">
        <v>41</v>
      </c>
      <c r="E435" t="s">
        <v>53</v>
      </c>
      <c r="F435">
        <v>14</v>
      </c>
      <c r="G435">
        <v>3.2</v>
      </c>
      <c r="H435">
        <v>680651</v>
      </c>
      <c r="I435">
        <v>32</v>
      </c>
      <c r="J435">
        <v>4.7</v>
      </c>
    </row>
    <row r="436" spans="1:10" x14ac:dyDescent="0.3">
      <c r="A436">
        <v>435</v>
      </c>
      <c r="B436" t="s">
        <v>14</v>
      </c>
      <c r="C436">
        <v>2025</v>
      </c>
      <c r="D436" t="s">
        <v>41</v>
      </c>
      <c r="E436" t="s">
        <v>53</v>
      </c>
      <c r="F436">
        <v>14</v>
      </c>
      <c r="G436">
        <v>6.4</v>
      </c>
      <c r="H436">
        <v>351329</v>
      </c>
      <c r="I436">
        <v>214</v>
      </c>
      <c r="J436">
        <v>4.4000000000000004</v>
      </c>
    </row>
    <row r="437" spans="1:10" x14ac:dyDescent="0.3">
      <c r="A437">
        <v>436</v>
      </c>
      <c r="B437" t="s">
        <v>15</v>
      </c>
      <c r="C437">
        <v>2025</v>
      </c>
      <c r="D437" t="s">
        <v>41</v>
      </c>
      <c r="E437" t="s">
        <v>53</v>
      </c>
      <c r="F437">
        <v>14</v>
      </c>
      <c r="G437">
        <v>4.5999999999999996</v>
      </c>
      <c r="H437">
        <v>586756</v>
      </c>
      <c r="I437">
        <v>52</v>
      </c>
      <c r="J437">
        <v>4.5999999999999996</v>
      </c>
    </row>
    <row r="438" spans="1:10" x14ac:dyDescent="0.3">
      <c r="A438">
        <v>437</v>
      </c>
      <c r="B438" t="s">
        <v>16</v>
      </c>
      <c r="C438">
        <v>2025</v>
      </c>
      <c r="D438" t="s">
        <v>41</v>
      </c>
      <c r="E438" t="s">
        <v>53</v>
      </c>
      <c r="F438">
        <v>14</v>
      </c>
      <c r="G438">
        <v>9.1999999999999993</v>
      </c>
      <c r="H438">
        <v>698033</v>
      </c>
      <c r="I438">
        <v>137</v>
      </c>
      <c r="J438">
        <v>4.3</v>
      </c>
    </row>
    <row r="439" spans="1:10" x14ac:dyDescent="0.3">
      <c r="A439">
        <v>438</v>
      </c>
      <c r="B439" t="s">
        <v>17</v>
      </c>
      <c r="C439">
        <v>2025</v>
      </c>
      <c r="D439" t="s">
        <v>41</v>
      </c>
      <c r="E439" t="s">
        <v>53</v>
      </c>
      <c r="F439">
        <v>14</v>
      </c>
      <c r="G439">
        <v>3.5</v>
      </c>
      <c r="H439">
        <v>336439</v>
      </c>
      <c r="I439">
        <v>180</v>
      </c>
      <c r="J439">
        <v>4.5</v>
      </c>
    </row>
    <row r="440" spans="1:10" x14ac:dyDescent="0.3">
      <c r="A440">
        <v>439</v>
      </c>
      <c r="B440" t="s">
        <v>18</v>
      </c>
      <c r="C440">
        <v>2025</v>
      </c>
      <c r="D440" t="s">
        <v>41</v>
      </c>
      <c r="E440" t="s">
        <v>53</v>
      </c>
      <c r="F440">
        <v>14</v>
      </c>
      <c r="G440">
        <v>3.9</v>
      </c>
      <c r="H440">
        <v>457528</v>
      </c>
      <c r="I440">
        <v>72</v>
      </c>
      <c r="J440">
        <v>4.8</v>
      </c>
    </row>
    <row r="441" spans="1:10" x14ac:dyDescent="0.3">
      <c r="A441">
        <v>440</v>
      </c>
      <c r="B441" t="s">
        <v>19</v>
      </c>
      <c r="C441">
        <v>2025</v>
      </c>
      <c r="D441" t="s">
        <v>41</v>
      </c>
      <c r="E441" t="s">
        <v>53</v>
      </c>
      <c r="F441">
        <v>14</v>
      </c>
      <c r="G441">
        <v>8.5</v>
      </c>
      <c r="H441">
        <v>884934</v>
      </c>
      <c r="I441">
        <v>94</v>
      </c>
      <c r="J441">
        <v>4.5999999999999996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38FF3-71AD-4456-B176-07A7DA4B4F0D}">
  <sheetPr codeName="Sheet8"/>
  <dimension ref="A1:AK76"/>
  <sheetViews>
    <sheetView showGridLines="0" zoomScale="43" workbookViewId="0"/>
  </sheetViews>
  <sheetFormatPr defaultRowHeight="14.4" x14ac:dyDescent="0.3"/>
  <sheetData>
    <row r="1" spans="1:37"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spans="1:37"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row>
    <row r="9" spans="1:37"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row>
    <row r="10" spans="1:37"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row>
    <row r="11" spans="1:37"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row>
    <row r="12" spans="1:37"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row>
    <row r="13" spans="1:37"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spans="1:37"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row>
    <row r="15" spans="1:37"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row>
    <row r="16" spans="1:37"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row>
    <row r="17" spans="1:37"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37"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37"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37"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row>
    <row r="21" spans="1:37"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row>
    <row r="22" spans="1:37"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row>
    <row r="23" spans="1:37"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row>
    <row r="24" spans="1:37"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row>
    <row r="25" spans="1:37"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row>
    <row r="26" spans="1:37"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row>
    <row r="27" spans="1:37"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row>
    <row r="28" spans="1:37"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row>
    <row r="29" spans="1:37"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row>
    <row r="30" spans="1:37"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row>
    <row r="31" spans="1:37"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spans="1:37"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spans="1:37"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spans="1:37"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spans="1:37"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6" spans="1:37"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row>
    <row r="37" spans="1:37"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row>
    <row r="38" spans="1:37"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spans="1:37"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0" spans="1:37"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row>
    <row r="41" spans="1:37"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row>
    <row r="42" spans="1:37"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spans="1:37"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row>
    <row r="44" spans="1:37"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row>
    <row r="45" spans="1:37"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row>
    <row r="46" spans="1:37"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row>
    <row r="47" spans="1:37"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row>
    <row r="48" spans="1:37"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row>
    <row r="49" spans="1:37"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row>
    <row r="50" spans="1:37"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spans="1:37"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row>
    <row r="52" spans="1:37"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row>
    <row r="53" spans="1:37"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row>
    <row r="54" spans="1:37"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row>
    <row r="55" spans="1:37"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spans="1:37"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row>
    <row r="57" spans="1:37"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row>
    <row r="58" spans="1:37"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row>
    <row r="59" spans="1:37"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row>
    <row r="60" spans="1:37"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row>
    <row r="61" spans="1:37"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row>
    <row r="62" spans="1:37"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row>
    <row r="63" spans="1:37"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row>
    <row r="64" spans="1:37"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row>
    <row r="65" spans="1:37"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row>
    <row r="66" spans="1:37"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row>
    <row r="67" spans="1:37"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row>
    <row r="68" spans="1:37"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spans="1:37"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row>
    <row r="70" spans="1:37"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row>
    <row r="71" spans="1:37"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row>
    <row r="72" spans="1:37"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row>
    <row r="73" spans="1:37"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spans="1:37"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spans="1:37"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spans="1:37"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 KPI1</vt:lpstr>
      <vt:lpstr>KPI2</vt:lpstr>
      <vt:lpstr>KPI3</vt:lpstr>
      <vt:lpstr>KPI4</vt:lpstr>
      <vt:lpstr>KPI5</vt:lpstr>
      <vt:lpstr>KPI6</vt:lpstr>
      <vt:lpstr>Cards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tanvisonawane9903@outlook.com</cp:lastModifiedBy>
  <dcterms:created xsi:type="dcterms:W3CDTF">2025-10-19T14:29:28Z</dcterms:created>
  <dcterms:modified xsi:type="dcterms:W3CDTF">2026-02-09T07:28:35Z</dcterms:modified>
</cp:coreProperties>
</file>